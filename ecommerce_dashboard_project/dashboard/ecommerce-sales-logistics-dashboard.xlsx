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7A14D680-616E-4498-B566-439E53A96840}" xr6:coauthVersionLast="47" xr6:coauthVersionMax="47" xr10:uidLastSave="{00000000-0000-0000-0000-000000000000}"/>
  <bookViews>
    <workbookView xWindow="-120" yWindow="-120" windowWidth="29040" windowHeight="16440" firstSheet="6" activeTab="6" xr2:uid="{346724B3-1C49-40AE-AA36-C77CF5D6DD09}"/>
  </bookViews>
  <sheets>
    <sheet name="1_pivot" sheetId="5" state="hidden" r:id="rId1"/>
    <sheet name="2_pivot" sheetId="7" state="hidden" r:id="rId2"/>
    <sheet name="3_pivot" sheetId="8" state="hidden" r:id="rId3"/>
    <sheet name="4_pivot" sheetId="9" state="hidden" r:id="rId4"/>
    <sheet name="5_pivot" sheetId="11" state="hidden" r:id="rId5"/>
    <sheet name="6_pivot" sheetId="12" state="hidden" r:id="rId6"/>
    <sheet name="E-Commerce Dashboard" sheetId="6" r:id="rId7"/>
    <sheet name="Data" sheetId="1" state="hidden" r:id="rId8"/>
    <sheet name="Questions &amp; KPIs" sheetId="2" state="hidden" r:id="rId9"/>
  </sheets>
  <definedNames>
    <definedName name="_xlchart.v5.0" hidden="1">'5_pivot'!$H$3:$I$3</definedName>
    <definedName name="_xlchart.v5.1" hidden="1">'5_pivot'!$H$4:$I$61</definedName>
    <definedName name="_xlchart.v5.2" hidden="1">'5_pivot'!$J$3</definedName>
    <definedName name="_xlchart.v5.3" hidden="1">'5_pivot'!$J$4:$J$61</definedName>
    <definedName name="_xlchart.v5.4" hidden="1">'5_pivot'!$L$3:$M$3</definedName>
    <definedName name="_xlchart.v5.5" hidden="1">'5_pivot'!$L$4:$M$61</definedName>
    <definedName name="_xlchart.v5.6" hidden="1">'5_pivot'!$N$3</definedName>
    <definedName name="_xlchart.v5.7" hidden="1">'5_pivot'!$N$4:$N$61</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01" i="1" l="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 r="L5" i="11" a="1"/>
  <c r="L6" i="11" a="1"/>
  <c r="L7" i="11" a="1"/>
  <c r="L8" i="11" a="1"/>
  <c r="L9" i="11" a="1"/>
  <c r="L10" i="11" a="1"/>
  <c r="L11" i="11" a="1"/>
  <c r="L12" i="11" a="1"/>
  <c r="L13" i="11" a="1"/>
  <c r="L14" i="11" a="1"/>
  <c r="L15" i="11" a="1"/>
  <c r="L16" i="11" a="1"/>
  <c r="L17" i="11" a="1"/>
  <c r="L18" i="11" a="1"/>
  <c r="L19" i="11" a="1"/>
  <c r="L20" i="11" a="1"/>
  <c r="L21" i="11" a="1"/>
  <c r="L22" i="11" a="1"/>
  <c r="L23" i="11" a="1"/>
  <c r="L24" i="11" a="1"/>
  <c r="L25" i="11" a="1"/>
  <c r="L26" i="11" a="1"/>
  <c r="L27" i="11" a="1"/>
  <c r="L28" i="11" a="1"/>
  <c r="L29" i="11" a="1"/>
  <c r="L30" i="11" a="1"/>
  <c r="L31" i="11" a="1"/>
  <c r="L32" i="11" a="1"/>
  <c r="L33" i="11" a="1"/>
  <c r="L34" i="11" a="1"/>
  <c r="L35" i="11" a="1"/>
  <c r="L36" i="11" a="1"/>
  <c r="L37" i="11" a="1"/>
  <c r="L38" i="11" a="1"/>
  <c r="L39" i="11" a="1"/>
  <c r="L40" i="11" a="1"/>
  <c r="L41" i="11" a="1"/>
  <c r="L42" i="11" a="1"/>
  <c r="L43" i="11" a="1"/>
  <c r="L44" i="11" a="1"/>
  <c r="L45" i="11" a="1"/>
  <c r="L46" i="11" a="1"/>
  <c r="L47" i="11" a="1"/>
  <c r="L48" i="11" a="1"/>
  <c r="L49" i="11" a="1"/>
  <c r="L50" i="11" a="1"/>
  <c r="L51" i="11" a="1"/>
  <c r="L52" i="11" a="1"/>
  <c r="L53" i="11" a="1"/>
  <c r="L54" i="11" a="1"/>
  <c r="L55" i="11" a="1"/>
  <c r="L56" i="11" a="1"/>
  <c r="L57" i="11" a="1"/>
  <c r="L58" i="11" a="1"/>
  <c r="L59" i="11" a="1"/>
  <c r="L60" i="11" a="1"/>
  <c r="L61" i="11" a="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4" i="11"/>
  <c r="H4" i="11" a="1"/>
  <c r="L4" i="11" a="1"/>
  <c r="H5" i="11" a="1"/>
  <c r="H6" i="11" a="1"/>
  <c r="H7" i="11" a="1"/>
  <c r="H8" i="11" a="1"/>
  <c r="H9" i="11" a="1"/>
  <c r="H10" i="11" a="1"/>
  <c r="H11" i="11" a="1"/>
  <c r="H12" i="11" a="1"/>
  <c r="H13" i="11" a="1"/>
  <c r="H14" i="11" a="1"/>
  <c r="H15" i="11" a="1"/>
  <c r="H16" i="11" a="1"/>
  <c r="H17" i="11" a="1"/>
  <c r="H18" i="11" a="1"/>
  <c r="H19" i="11" a="1"/>
  <c r="H20" i="11" a="1"/>
  <c r="H21" i="11" a="1"/>
  <c r="H22" i="11" a="1"/>
  <c r="H23" i="11" a="1"/>
  <c r="H24" i="11" a="1"/>
  <c r="H25" i="11" a="1"/>
  <c r="H26" i="11" a="1"/>
  <c r="H27" i="11" a="1"/>
  <c r="H28" i="11" a="1"/>
  <c r="H29" i="11" a="1"/>
  <c r="H30" i="11" a="1"/>
  <c r="H31" i="11" a="1"/>
  <c r="H32" i="11" a="1"/>
  <c r="H33" i="11" a="1"/>
  <c r="H34" i="11" a="1"/>
  <c r="H35" i="11" a="1"/>
  <c r="H36" i="11" a="1"/>
  <c r="H37" i="11" a="1"/>
  <c r="H38" i="11" a="1"/>
  <c r="H39" i="11" a="1"/>
  <c r="H40" i="11" a="1"/>
  <c r="H41" i="11" a="1"/>
  <c r="H42" i="11" a="1"/>
  <c r="H43" i="11" a="1"/>
  <c r="H44" i="11" a="1"/>
  <c r="H45" i="11" a="1"/>
  <c r="H46" i="11" a="1"/>
  <c r="H47" i="11" a="1"/>
  <c r="H48" i="11" a="1"/>
  <c r="H49" i="11" a="1"/>
  <c r="H50" i="11" a="1"/>
  <c r="H51" i="11" a="1"/>
  <c r="H52" i="11" a="1"/>
  <c r="H53" i="11" a="1"/>
  <c r="H54" i="11" a="1"/>
  <c r="H55" i="11" a="1"/>
  <c r="H56" i="11" a="1"/>
  <c r="H57" i="11" a="1"/>
  <c r="H58" i="11" a="1"/>
  <c r="H59" i="11" a="1"/>
  <c r="H60" i="11" a="1"/>
  <c r="H61" i="11" a="1"/>
  <c r="I4" i="7"/>
  <c r="J4" i="7"/>
  <c r="K4" i="7"/>
  <c r="L4" i="7"/>
  <c r="H6" i="7"/>
  <c r="H7" i="7"/>
  <c r="H8" i="7"/>
  <c r="H9" i="7"/>
  <c r="I5" i="7"/>
  <c r="J5" i="7"/>
  <c r="K5" i="7"/>
  <c r="L5" i="7"/>
  <c r="I6" i="7"/>
  <c r="J6" i="7"/>
  <c r="K6" i="7"/>
  <c r="L6" i="7"/>
  <c r="I7" i="7"/>
  <c r="J7" i="7"/>
  <c r="K7" i="7"/>
  <c r="L7" i="7"/>
  <c r="I8" i="7"/>
  <c r="J8" i="7"/>
  <c r="K8" i="7"/>
  <c r="L8" i="7"/>
  <c r="I9" i="7"/>
  <c r="J9" i="7"/>
  <c r="K9" i="7"/>
  <c r="L9" i="7"/>
  <c r="H5" i="7"/>
  <c r="K4" i="5"/>
  <c r="M4" i="5"/>
  <c r="L4" i="5"/>
  <c r="J4" i="5"/>
  <c r="I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<sst xmlns="http://schemas.openxmlformats.org/spreadsheetml/2006/main" count="14647" uniqueCount="2556">
  <si>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</si>
  <si>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</si>
  <si>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</si>
  <si>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</si>
  <si>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</si>
  <si>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</si>
  <si>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</si>
  <si>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</si>
  <si>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</si>
  <si>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</si>
  <si>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</si>
  <si>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</si>
  <si>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</si>
  <si>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</si>
  <si>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</si>
  <si>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</si>
  <si>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</si>
  <si>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</si>
  <si>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</si>
  <si>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</si>
  <si>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</si>
  <si>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</si>
  <si>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</si>
  <si>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</si>
  <si>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</si>
  <si>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</si>
  <si>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</si>
  <si>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</si>
  <si>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</si>
  <si>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</si>
  <si>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</si>
  <si>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</si>
  <si>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</si>
  <si>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</si>
  <si>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</si>
  <si>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</si>
  <si>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</si>
  <si>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</si>
  <si>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</si>
  <si>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</si>
  <si>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</si>
  <si>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</si>
  <si>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</si>
  <si>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</si>
  <si>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</si>
  <si>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</si>
  <si>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</si>
  <si>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</si>
  <si>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</si>
  <si>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</si>
  <si>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</si>
  <si>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</si>
  <si>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</si>
  <si>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</si>
  <si>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</si>
  <si>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</si>
  <si>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</si>
  <si>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</si>
  <si>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</si>
  <si>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</si>
  <si>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</si>
  <si>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</si>
  <si>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</si>
  <si>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</si>
  <si>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</si>
  <si>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</si>
  <si>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</si>
  <si>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</si>
  <si>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</si>
  <si>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</si>
  <si>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</si>
  <si>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</si>
  <si>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</si>
  <si>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</si>
  <si>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</si>
  <si>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</si>
  <si>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</si>
  <si>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</si>
  <si>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</si>
  <si>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</si>
  <si>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</si>
  <si>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</si>
  <si>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</si>
  <si>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</si>
  <si>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</si>
  <si>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</si>
  <si>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</si>
  <si>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</si>
  <si>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</si>
  <si>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</si>
  <si>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</si>
  <si>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</si>
  <si>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</si>
  <si>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</si>
  <si>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</si>
  <si>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</si>
  <si>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</si>
  <si>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</si>
  <si>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</si>
  <si>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</si>
  <si>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</si>
  <si>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</si>
  <si>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</si>
  <si>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</si>
  <si>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</si>
  <si>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</si>
  <si>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</si>
  <si>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</si>
  <si>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</si>
  <si>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</si>
  <si>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</si>
  <si>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</si>
  <si>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</si>
  <si>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</si>
  <si>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</si>
  <si>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</si>
  <si>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</si>
  <si>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</si>
  <si>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</si>
  <si>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</si>
  <si>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</si>
  <si>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</si>
  <si>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</si>
  <si>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</si>
  <si>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</si>
  <si>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</si>
  <si>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</si>
  <si>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</si>
  <si>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</si>
  <si>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</si>
  <si>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</si>
  <si>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</si>
  <si>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</si>
  <si>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</si>
  <si>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</si>
  <si>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</si>
  <si>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</si>
  <si>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</si>
  <si>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</si>
  <si>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</si>
  <si>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</si>
  <si>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</si>
  <si>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</si>
  <si>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</si>
  <si>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</si>
  <si>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</si>
  <si>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</si>
  <si>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</si>
  <si>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</si>
  <si>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</si>
  <si>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</si>
  <si>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</si>
  <si>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</si>
  <si>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</si>
  <si>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</si>
  <si>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</si>
  <si>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</si>
  <si>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</si>
  <si>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</si>
  <si>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</si>
  <si>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</si>
  <si>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</si>
  <si>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</si>
  <si>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</si>
  <si>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</si>
  <si>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</si>
  <si>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</si>
  <si>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</si>
  <si>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</si>
  <si>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</si>
  <si>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</si>
  <si>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</si>
  <si>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</si>
  <si>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</si>
  <si>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</si>
  <si>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</si>
  <si>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</si>
  <si>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</si>
  <si>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</si>
  <si>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</si>
  <si>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</si>
  <si>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</si>
  <si>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</si>
  <si>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</si>
  <si>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</si>
  <si>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</si>
  <si>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</si>
  <si>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</si>
  <si>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</si>
  <si>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</si>
  <si>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</si>
  <si>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</si>
  <si>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</si>
  <si>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</si>
  <si>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</si>
  <si>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</si>
  <si>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</si>
  <si>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</si>
  <si>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</si>
  <si>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</si>
  <si>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</si>
  <si>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</si>
  <si>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</si>
  <si>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</si>
  <si>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</si>
  <si>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</si>
  <si>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</si>
  <si>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</si>
  <si>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</si>
  <si>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</si>
  <si>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</si>
  <si>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</si>
  <si>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</si>
  <si>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</si>
  <si>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</si>
  <si>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</si>
  <si>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</si>
  <si>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</si>
  <si>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</si>
  <si>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</si>
  <si>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</si>
  <si>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</si>
  <si>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</si>
  <si>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</si>
  <si>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</si>
  <si>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</si>
  <si>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</si>
  <si>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</si>
  <si>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</si>
  <si>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</si>
  <si>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</si>
  <si>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</si>
  <si>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</si>
  <si>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</si>
  <si>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</si>
  <si>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</si>
  <si>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</si>
  <si>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</si>
  <si>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</si>
  <si>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</si>
  <si>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</si>
  <si>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</si>
  <si>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</si>
  <si>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</si>
  <si>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</si>
  <si>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</si>
  <si>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</si>
  <si>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</si>
  <si>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</si>
  <si>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</si>
  <si>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</si>
  <si>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</si>
  <si>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</si>
  <si>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</si>
  <si>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</si>
  <si>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</si>
  <si>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</si>
  <si>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</si>
  <si>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</si>
  <si>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</si>
  <si>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</si>
  <si>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</si>
  <si>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</si>
  <si>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</si>
  <si>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</si>
  <si>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</si>
  <si>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</si>
  <si>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</si>
  <si>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</si>
  <si>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</si>
  <si>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</si>
  <si>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</si>
  <si>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</si>
  <si>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</si>
  <si>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</si>
  <si>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</si>
  <si>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</si>
  <si>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</si>
  <si>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</si>
  <si>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</si>
  <si>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</si>
  <si>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</si>
  <si>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</si>
  <si>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</si>
  <si>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</si>
  <si>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</si>
  <si>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</si>
  <si>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</si>
  <si>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</si>
  <si>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</si>
  <si>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</si>
  <si>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</si>
  <si>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</si>
  <si>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</si>
  <si>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</si>
  <si>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</si>
  <si>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</si>
  <si>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</si>
  <si>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</si>
  <si>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</si>
  <si>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</si>
  <si>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</si>
  <si>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</si>
  <si>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</si>
  <si>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</si>
  <si>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</si>
  <si>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</si>
  <si>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</si>
  <si>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</si>
  <si>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</si>
  <si>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</si>
  <si>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</si>
  <si>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</si>
  <si>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</si>
  <si>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</si>
  <si>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</si>
  <si>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</si>
  <si>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</si>
  <si>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</si>
  <si>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</si>
  <si>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</si>
  <si>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</si>
  <si>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</si>
  <si>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</si>
  <si>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</si>
  <si>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</si>
  <si>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</si>
  <si>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</si>
  <si>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</si>
  <si>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</si>
  <si>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</si>
  <si>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</si>
  <si>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</si>
  <si>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</si>
  <si>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</si>
  <si>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</si>
  <si>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</si>
  <si>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</si>
  <si>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</si>
  <si>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</si>
  <si>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</si>
  <si>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</si>
  <si>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</si>
  <si>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</si>
  <si>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</si>
  <si>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</si>
  <si>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</si>
  <si>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</si>
  <si>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</si>
  <si>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</si>
  <si>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</si>
  <si>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</si>
  <si>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</si>
  <si>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</si>
  <si>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</si>
  <si>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</si>
  <si>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</si>
  <si>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</si>
  <si>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</si>
  <si>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</si>
  <si>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</si>
  <si>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</si>
  <si>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</si>
  <si>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</si>
  <si>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</si>
  <si>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</si>
  <si>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</si>
  <si>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</si>
  <si>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</si>
  <si>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</si>
  <si>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</si>
  <si>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</si>
  <si>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</si>
  <si>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</si>
  <si>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</si>
  <si>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</si>
  <si>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</si>
  <si>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</si>
  <si>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</si>
  <si>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</si>
  <si>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</si>
  <si>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</si>
  <si>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</si>
  <si>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</si>
  <si>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</si>
  <si>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</si>
  <si>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</si>
  <si>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</si>
  <si>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</si>
  <si>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</si>
  <si>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</si>
  <si>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</si>
  <si>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</si>
  <si>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</si>
  <si>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</si>
  <si>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</si>
  <si>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</si>
  <si>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</si>
  <si>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</si>
  <si>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</si>
  <si>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</si>
  <si>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</si>
  <si>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</si>
  <si>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</si>
  <si>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</si>
  <si>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</si>
  <si>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</si>
  <si>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</si>
  <si>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</si>
  <si>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</si>
  <si>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</si>
  <si>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</si>
  <si>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</si>
  <si>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</si>
  <si>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</si>
  <si>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</si>
  <si>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</si>
  <si>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</si>
  <si>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</si>
  <si>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</si>
  <si>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</si>
  <si>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</si>
  <si>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</si>
  <si>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</si>
  <si>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</si>
  <si>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</si>
  <si>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</si>
  <si>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</si>
  <si>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</si>
  <si>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</si>
  <si>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</si>
  <si>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</si>
  <si>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</si>
  <si>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</si>
  <si>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</si>
  <si>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</si>
  <si>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</si>
  <si>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</si>
  <si>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</si>
  <si>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</si>
  <si>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</si>
  <si>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</si>
  <si>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</si>
  <si>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</si>
  <si>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</si>
  <si>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</si>
  <si>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</si>
  <si>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</si>
  <si>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</si>
  <si>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</si>
  <si>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</si>
  <si>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</si>
  <si>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</si>
  <si>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</si>
  <si>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</si>
  <si>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</si>
  <si>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</si>
  <si>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</si>
  <si>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</si>
  <si>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</si>
  <si>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</si>
  <si>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</si>
  <si>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</si>
  <si>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</si>
  <si>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</si>
  <si>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</si>
  <si>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</si>
  <si>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</si>
  <si>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</si>
  <si>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</si>
  <si>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</si>
  <si>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</si>
  <si>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</si>
  <si>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</si>
  <si>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</si>
  <si>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</si>
  <si>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</si>
  <si>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</si>
  <si>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</si>
  <si>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</si>
  <si>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</si>
  <si>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</si>
  <si>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</si>
  <si>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</si>
  <si>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</si>
  <si>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</si>
  <si>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</si>
  <si>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</si>
  <si>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</si>
  <si>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</si>
  <si>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</si>
  <si>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</si>
  <si>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</si>
  <si>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</si>
  <si>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</si>
  <si>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</si>
  <si>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</si>
  <si>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</si>
  <si>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</si>
  <si>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</si>
  <si>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</si>
  <si>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</si>
  <si>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</si>
  <si>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</si>
  <si>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</si>
  <si>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</si>
  <si>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</si>
  <si>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</si>
  <si>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</si>
  <si>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</si>
  <si>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</si>
  <si>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</si>
  <si>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</si>
  <si>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</si>
  <si>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</si>
  <si>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</si>
  <si>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</si>
  <si>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</si>
  <si>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</si>
  <si>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</si>
  <si>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</si>
  <si>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</si>
  <si>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</si>
  <si>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</si>
  <si>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</si>
  <si>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</si>
  <si>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</si>
  <si>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</si>
  <si>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</si>
  <si>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</si>
  <si>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</si>
  <si>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</si>
  <si>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</si>
  <si>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</si>
  <si>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</si>
  <si>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</si>
  <si>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</si>
  <si>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</si>
  <si>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</si>
  <si>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</si>
  <si>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</si>
  <si>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</si>
  <si>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</si>
  <si>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</si>
  <si>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</si>
  <si>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</si>
  <si>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</si>
  <si>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</si>
  <si>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</si>
  <si>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</si>
  <si>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</si>
  <si>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</si>
  <si>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</si>
  <si>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</si>
  <si>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</si>
  <si>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</si>
  <si>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</si>
  <si>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</si>
  <si>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</si>
  <si>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</si>
  <si>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</si>
  <si>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</si>
  <si>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</si>
  <si>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</si>
  <si>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</si>
  <si>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</si>
  <si>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</si>
  <si>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</si>
  <si>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</si>
  <si>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</si>
  <si>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</si>
  <si>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</si>
  <si>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</si>
  <si>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</si>
  <si>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</si>
  <si>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</si>
  <si>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</si>
  <si>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</si>
  <si>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</si>
  <si>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</si>
  <si>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</si>
  <si>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</si>
  <si>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</si>
  <si>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</si>
  <si>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</si>
  <si>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</si>
  <si>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</si>
  <si>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</si>
  <si>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</si>
  <si>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</si>
  <si>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</si>
  <si>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</si>
  <si>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</si>
  <si>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</si>
  <si>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</si>
  <si>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</si>
  <si>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</si>
  <si>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</si>
  <si>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</si>
  <si>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</si>
  <si>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</si>
  <si>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</si>
  <si>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</si>
  <si>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</si>
  <si>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</si>
  <si>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</si>
  <si>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</si>
  <si>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</si>
  <si>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</si>
  <si>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</si>
  <si>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</si>
  <si>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</si>
  <si>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</si>
  <si>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</si>
  <si>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</si>
  <si>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</si>
  <si>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</si>
  <si>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</si>
  <si>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</si>
  <si>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</si>
  <si>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</si>
  <si>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</si>
  <si>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</si>
  <si>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</si>
  <si>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</si>
  <si>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</si>
  <si>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</si>
  <si>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</si>
  <si>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</si>
  <si>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</si>
  <si>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</si>
  <si>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</si>
  <si>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</si>
  <si>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</si>
  <si>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</si>
  <si>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</si>
  <si>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</si>
  <si>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</si>
  <si>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</si>
  <si>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</si>
  <si>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</si>
  <si>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</si>
  <si>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</si>
  <si>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</si>
  <si>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</si>
  <si>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</si>
  <si>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</si>
  <si>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</si>
  <si>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</si>
  <si>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</si>
  <si>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</si>
  <si>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</si>
  <si>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</si>
  <si>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</si>
  <si>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</si>
  <si>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</si>
  <si>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</si>
  <si>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</si>
  <si>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</si>
  <si>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</si>
  <si>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</si>
  <si>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</si>
  <si>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</si>
  <si>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</si>
  <si>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</si>
  <si>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</si>
  <si>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</si>
  <si>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</si>
  <si>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</si>
  <si>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</si>
  <si>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</si>
  <si>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</si>
  <si>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</si>
  <si>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</si>
  <si>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</si>
  <si>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</si>
  <si>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</si>
  <si>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</si>
  <si>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</si>
  <si>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</si>
  <si>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</si>
  <si>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</si>
  <si>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</si>
  <si>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</si>
  <si>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</si>
  <si>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</si>
  <si>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</si>
  <si>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</si>
  <si>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</si>
  <si>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</si>
  <si>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</si>
  <si>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</si>
  <si>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</si>
  <si>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</si>
  <si>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</si>
  <si>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</si>
  <si>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</si>
  <si>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</si>
  <si>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</si>
  <si>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</si>
  <si>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</si>
  <si>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</si>
  <si>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</si>
  <si>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</si>
  <si>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</si>
  <si>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</si>
  <si>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</si>
  <si>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</si>
  <si>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</si>
  <si>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</si>
  <si>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</si>
  <si>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</si>
  <si>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</si>
  <si>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</si>
  <si>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</si>
  <si>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</si>
  <si>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</si>
  <si>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</si>
  <si>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</si>
  <si>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</si>
  <si>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</si>
  <si>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</si>
  <si>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</si>
  <si>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</si>
  <si>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</si>
  <si>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</si>
  <si>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</si>
  <si>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</si>
  <si>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</si>
  <si>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</si>
  <si>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</si>
  <si>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</si>
  <si>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</si>
  <si>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</si>
  <si>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</si>
  <si>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</si>
  <si>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</si>
  <si>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</si>
  <si>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</si>
  <si>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</si>
  <si>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</si>
  <si>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</si>
  <si>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</si>
  <si>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</si>
  <si>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</si>
  <si>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</si>
  <si>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</si>
  <si>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</si>
  <si>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</si>
  <si>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</si>
  <si>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</si>
  <si>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</si>
  <si>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</si>
  <si>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</si>
  <si>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</si>
  <si>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</si>
  <si>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</si>
  <si>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</si>
  <si>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</si>
  <si>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</si>
  <si>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</si>
  <si>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</si>
  <si>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</si>
  <si>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</si>
  <si>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</si>
  <si>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</si>
  <si>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</si>
  <si>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</si>
  <si>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</si>
  <si>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</si>
  <si>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</si>
  <si>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</si>
  <si>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</si>
  <si>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</si>
  <si>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</si>
  <si>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</si>
  <si>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</si>
  <si>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</si>
  <si>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</si>
  <si>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</si>
  <si>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</si>
  <si>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</si>
  <si>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</si>
  <si>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</si>
  <si>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</si>
  <si>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</si>
  <si>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</si>
  <si>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</si>
  <si>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</si>
  <si>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</si>
  <si>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</si>
  <si>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</si>
  <si>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</si>
  <si>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</si>
  <si>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</si>
  <si>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</si>
  <si>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</si>
  <si>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</si>
  <si>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</si>
  <si>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</si>
  <si>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</si>
  <si>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</si>
  <si>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</si>
  <si>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</si>
  <si>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</si>
  <si>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</si>
  <si>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</si>
  <si>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</si>
  <si>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</si>
  <si>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</si>
  <si>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</si>
  <si>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</si>
  <si>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</si>
  <si>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</si>
  <si>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</si>
  <si>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</si>
  <si>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</si>
  <si>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</si>
  <si>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</si>
  <si>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</si>
  <si>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</si>
  <si>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</si>
  <si>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</si>
  <si>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</si>
  <si>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</si>
  <si>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</si>
  <si>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</si>
  <si>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</si>
  <si>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</si>
  <si>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</si>
  <si>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</si>
  <si>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</si>
  <si>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</si>
  <si>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</si>
  <si>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</si>
  <si>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</si>
  <si>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</si>
  <si>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</si>
  <si>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</si>
  <si>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</si>
  <si>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</si>
  <si>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</si>
  <si>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</si>
  <si>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</si>
  <si>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</si>
  <si>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</si>
  <si>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</si>
  <si>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</si>
  <si>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</si>
  <si>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</si>
  <si>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</si>
  <si>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</si>
  <si>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</si>
  <si>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</si>
  <si>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</si>
  <si>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</si>
  <si>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</si>
  <si>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</si>
  <si>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</si>
  <si>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</si>
  <si>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</si>
  <si>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</si>
  <si>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</si>
  <si>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</si>
  <si>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</si>
  <si>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</si>
  <si>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</si>
  <si>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</si>
  <si>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</si>
  <si>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</si>
  <si>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</si>
  <si>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</si>
  <si>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</si>
  <si>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</si>
  <si>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</si>
  <si>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</si>
  <si>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</si>
  <si>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</si>
  <si>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</si>
  <si>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</si>
  <si>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</si>
  <si>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</si>
  <si>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</si>
  <si>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</si>
  <si>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</si>
  <si>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</si>
  <si>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</si>
  <si>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</si>
  <si>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</si>
  <si>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</si>
  <si>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</si>
  <si>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</si>
  <si>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</si>
  <si>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</si>
  <si>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</si>
  <si>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</si>
  <si>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</si>
  <si>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</si>
  <si>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</si>
  <si>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</si>
  <si>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</si>
  <si>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</si>
  <si>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</si>
  <si>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</si>
  <si>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</si>
  <si>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</si>
  <si>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</si>
  <si>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</si>
  <si>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</si>
  <si>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</si>
  <si>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</si>
  <si>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</si>
  <si>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</si>
  <si>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</si>
  <si>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</si>
  <si>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</si>
  <si>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</si>
  <si>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</si>
  <si>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</si>
  <si>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</si>
  <si>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</si>
  <si>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</si>
  <si>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</si>
  <si>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</si>
  <si>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</si>
  <si>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</si>
  <si>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</si>
  <si>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</si>
  <si>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</si>
  <si>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</si>
  <si>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</si>
  <si>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</si>
  <si>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</si>
  <si>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</si>
  <si>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</si>
  <si>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</si>
  <si>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</si>
  <si>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</si>
  <si>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</si>
  <si>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</si>
  <si>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</si>
  <si>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</si>
  <si>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</si>
  <si>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</si>
  <si>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</si>
  <si>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</si>
  <si>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</si>
  <si>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</si>
  <si>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</si>
  <si>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</si>
  <si>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</si>
  <si>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</si>
  <si>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</si>
  <si>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</si>
  <si>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</si>
  <si>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</si>
  <si>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</si>
  <si>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</si>
  <si>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</si>
  <si>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</si>
  <si>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</si>
  <si>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</si>
  <si>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</si>
  <si>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</si>
  <si>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</si>
  <si>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</si>
  <si>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</si>
  <si>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</si>
  <si>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</si>
  <si>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</si>
  <si>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</si>
  <si>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</si>
  <si>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</si>
  <si>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</si>
  <si>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</si>
  <si>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</si>
  <si>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</si>
  <si>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</si>
  <si>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</si>
  <si>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</si>
  <si>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</si>
  <si>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</si>
  <si>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</si>
  <si>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</si>
  <si>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</si>
  <si>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</si>
  <si>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</si>
  <si>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</si>
  <si>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</si>
  <si>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</si>
  <si>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</si>
  <si>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</si>
  <si>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</si>
  <si>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</si>
  <si>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</si>
  <si>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</si>
  <si>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</si>
  <si>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</si>
  <si>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</si>
  <si>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</si>
  <si>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</si>
  <si>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</si>
  <si>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</si>
  <si>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</si>
  <si>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</si>
  <si>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</si>
  <si>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</si>
  <si>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</si>
  <si>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</si>
  <si>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</si>
  <si>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</si>
  <si>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</si>
  <si>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</si>
  <si>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</si>
  <si>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</si>
  <si>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</si>
  <si>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</si>
  <si>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</si>
  <si>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</si>
  <si>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</si>
  <si>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</si>
  <si>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</si>
  <si>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</si>
  <si>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</si>
  <si>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</si>
  <si>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</si>
  <si>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</si>
  <si>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</si>
  <si>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</si>
  <si>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</si>
  <si>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</si>
  <si>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</si>
  <si>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</si>
  <si>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</si>
  <si>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</si>
  <si>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</si>
  <si>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</si>
  <si>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</si>
  <si>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</si>
  <si>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</si>
  <si>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</si>
  <si>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</si>
  <si>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</si>
  <si>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</si>
  <si>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</si>
  <si>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</si>
  <si>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</si>
  <si>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</si>
  <si>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</si>
  <si>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</si>
  <si>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</si>
  <si>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</si>
  <si>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</si>
  <si>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</si>
  <si>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</si>
  <si>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</si>
  <si>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</si>
  <si>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</si>
  <si>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</si>
  <si>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</si>
  <si>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</si>
  <si>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</si>
  <si>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</si>
  <si>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</si>
  <si>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</si>
  <si>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</si>
  <si>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</si>
  <si>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</si>
  <si>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</si>
  <si>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</si>
  <si>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</si>
  <si>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</si>
  <si>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</si>
  <si>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</si>
  <si>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</si>
  <si>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</si>
  <si>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</si>
  <si>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</si>
  <si>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</si>
  <si>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</si>
  <si>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</si>
  <si>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</si>
  <si>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</si>
  <si>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</si>
  <si>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</si>
  <si>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</si>
  <si>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</si>
  <si>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</si>
  <si>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</si>
  <si>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</si>
  <si>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</si>
  <si>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</si>
  <si>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</si>
  <si>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</si>
  <si>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</si>
  <si>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</si>
  <si>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</si>
  <si>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</si>
  <si>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</si>
  <si>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</si>
  <si>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</si>
  <si>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</si>
  <si>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</si>
  <si>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</si>
  <si>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</si>
  <si>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</si>
  <si>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</si>
  <si>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</si>
  <si>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</si>
  <si>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</si>
  <si>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</si>
  <si>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</si>
  <si>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</si>
  <si>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</si>
  <si>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</si>
  <si>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</si>
  <si>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</si>
  <si>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</si>
  <si>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</si>
  <si>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</si>
  <si>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</si>
  <si>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</si>
  <si>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</si>
  <si>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</si>
  <si>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</si>
  <si>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</si>
  <si>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</si>
  <si>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</si>
  <si>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</si>
  <si>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</si>
  <si>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</si>
  <si>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</si>
  <si>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</si>
  <si>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</si>
  <si>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</si>
  <si>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</si>
  <si>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</si>
  <si>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</si>
  <si>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</si>
  <si>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</si>
  <si>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</si>
  <si>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</si>
  <si>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</si>
  <si>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</si>
  <si>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</si>
  <si>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</si>
  <si>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</si>
  <si>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</si>
  <si>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</si>
  <si>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</si>
  <si>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</si>
  <si>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</si>
  <si>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</si>
  <si>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</si>
  <si>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</si>
  <si>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</si>
  <si>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</si>
  <si>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</si>
  <si>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</si>
  <si>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</si>
  <si>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</si>
  <si>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</si>
  <si>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</si>
  <si>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</si>
  <si>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</si>
  <si>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</si>
  <si>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</si>
  <si>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</si>
  <si>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</si>
  <si>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</si>
  <si>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</si>
  <si>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</si>
  <si>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</si>
  <si>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</si>
  <si>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</si>
  <si>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</si>
  <si>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</si>
  <si>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</si>
  <si>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</si>
  <si>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</si>
  <si>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</si>
  <si>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</si>
  <si>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</si>
  <si>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</si>
  <si>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</si>
  <si>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</si>
  <si>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</si>
  <si>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</si>
  <si>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</si>
  <si>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</si>
  <si>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</si>
  <si>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</si>
  <si>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</si>
  <si>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</si>
  <si>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</si>
  <si>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</si>
  <si>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</si>
  <si>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</si>
  <si>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</si>
  <si>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</si>
  <si>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</si>
  <si>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</si>
  <si>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</si>
  <si>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</si>
  <si>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</si>
  <si>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</si>
  <si>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</si>
  <si>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</si>
  <si>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</si>
  <si>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</si>
  <si>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</si>
  <si>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</si>
  <si>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</si>
  <si>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</si>
  <si>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</si>
  <si>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</si>
  <si>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</si>
  <si>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</si>
  <si>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</si>
  <si>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</si>
  <si>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</si>
  <si>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</si>
  <si>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</si>
  <si>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</si>
  <si>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</si>
  <si>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</si>
  <si>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</si>
  <si>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</si>
  <si>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</si>
  <si>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</si>
  <si>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</si>
  <si>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</si>
  <si>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</si>
  <si>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</si>
  <si>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</si>
  <si>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</si>
  <si>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</si>
  <si>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</si>
  <si>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</si>
  <si>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</si>
  <si>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</si>
  <si>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</si>
  <si>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</si>
  <si>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</si>
  <si>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</si>
  <si>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</si>
  <si>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</si>
  <si>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</si>
  <si>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</si>
  <si>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</si>
  <si>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</si>
  <si>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</si>
  <si>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</si>
  <si>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</si>
  <si>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</si>
  <si>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</si>
  <si>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</si>
  <si>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</si>
  <si>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</si>
  <si>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</si>
  <si>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</si>
  <si>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</si>
  <si>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</si>
  <si>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</si>
  <si>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</si>
  <si>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</si>
  <si>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</si>
  <si>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</si>
  <si>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</si>
  <si>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</si>
  <si>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</si>
  <si>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</si>
  <si>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</si>
  <si>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</si>
  <si>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</si>
  <si>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</si>
  <si>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</si>
  <si>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</si>
  <si>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</si>
  <si>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</si>
  <si>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</si>
  <si>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</si>
  <si>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</si>
  <si>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</si>
  <si>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</si>
  <si>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</si>
  <si>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</si>
  <si>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</si>
  <si>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</si>
  <si>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</si>
  <si>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</si>
  <si>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</si>
  <si>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</si>
  <si>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</si>
  <si>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</si>
  <si>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</si>
  <si>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</si>
  <si>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</si>
  <si>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</si>
  <si>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</si>
  <si>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</si>
  <si>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</si>
  <si>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</si>
  <si>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</si>
  <si>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</si>
  <si>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</si>
  <si>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</si>
  <si>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</si>
  <si>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</si>
  <si>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</si>
  <si>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</si>
  <si>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</si>
  <si>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</si>
  <si>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</si>
  <si>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</si>
  <si>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</si>
  <si>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</si>
  <si>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</si>
  <si>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</si>
  <si>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</si>
  <si>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</si>
  <si>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</si>
  <si>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</si>
  <si>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</si>
  <si>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</si>
  <si>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</si>
  <si>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</si>
  <si>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</si>
  <si>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</si>
  <si>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</si>
  <si>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</si>
  <si>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</si>
  <si>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</si>
  <si>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</si>
  <si>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</si>
  <si>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</si>
  <si>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</si>
  <si>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</si>
  <si>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</si>
  <si>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</si>
  <si>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</si>
  <si>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</si>
  <si>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</si>
  <si>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</si>
  <si>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</si>
  <si>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</si>
  <si>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</si>
  <si>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</si>
  <si>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</si>
  <si>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</si>
  <si>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</si>
  <si>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</si>
  <si>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</si>
  <si>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</si>
  <si>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</si>
  <si>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</si>
  <si>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</si>
  <si>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</si>
  <si>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</si>
  <si>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</si>
  <si>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</si>
  <si>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</si>
  <si>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</si>
  <si>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</si>
  <si>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</si>
  <si>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</si>
  <si>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</si>
  <si>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</si>
  <si>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</si>
  <si>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</si>
  <si>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</si>
  <si>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</si>
  <si>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</si>
  <si>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</si>
  <si>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</si>
  <si>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</si>
  <si>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</si>
  <si>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</si>
  <si>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</si>
  <si>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</si>
  <si>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</si>
  <si>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</si>
  <si>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</si>
  <si>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</si>
  <si>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</si>
  <si>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</si>
  <si>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</si>
  <si>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</si>
  <si>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</si>
  <si>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</si>
  <si>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</si>
  <si>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</si>
  <si>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</si>
  <si>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</si>
  <si>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</si>
  <si>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</si>
  <si>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</si>
  <si>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</si>
  <si>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</si>
  <si>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</si>
  <si>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</si>
  <si>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</si>
  <si>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</si>
  <si>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</si>
  <si>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</si>
  <si>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</si>
  <si>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</si>
  <si>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</si>
  <si>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</si>
  <si>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</si>
  <si>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</si>
  <si>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</si>
  <si>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</si>
  <si>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</si>
  <si>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</si>
  <si>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</si>
  <si>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</si>
  <si>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</si>
  <si>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</si>
  <si>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</si>
  <si>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</si>
  <si>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</si>
  <si>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</si>
  <si>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</si>
  <si>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</si>
  <si>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</si>
  <si>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</si>
  <si>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</si>
  <si>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</si>
  <si>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</si>
  <si>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</si>
  <si>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</si>
  <si>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</si>
  <si>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</si>
  <si>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</si>
  <si>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</si>
  <si>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</si>
  <si>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</si>
  <si>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</si>
  <si>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</si>
  <si>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</si>
  <si>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</si>
  <si>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</si>
  <si>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</si>
  <si>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</si>
  <si>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</si>
  <si>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</si>
  <si>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</si>
  <si>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</si>
  <si>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</si>
  <si>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</si>
  <si>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</si>
  <si>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</si>
  <si>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</si>
  <si>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</si>
  <si>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</si>
  <si>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</si>
  <si>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</si>
  <si>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</si>
  <si>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</si>
  <si>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</si>
  <si>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</si>
  <si>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</si>
  <si>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</si>
  <si>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</si>
  <si>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</si>
  <si>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</si>
  <si>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</si>
  <si>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</si>
  <si>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</si>
  <si>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</si>
  <si>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</si>
  <si>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</si>
  <si>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</si>
  <si>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</si>
  <si>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</si>
  <si>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</si>
  <si>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</si>
  <si>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</si>
  <si>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</si>
  <si>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</si>
  <si>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</si>
  <si>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</si>
  <si>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</si>
  <si>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</si>
  <si>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</si>
  <si>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</si>
  <si>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</si>
  <si>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</si>
  <si>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</si>
  <si>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</si>
  <si>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</si>
  <si>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</si>
  <si>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</si>
  <si>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</si>
  <si>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</si>
  <si>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</si>
  <si>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</si>
  <si>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</si>
  <si>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</si>
  <si>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</si>
  <si>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</si>
  <si>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</si>
  <si>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</si>
  <si>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</si>
  <si>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</si>
  <si>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</si>
  <si>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</si>
  <si>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</si>
  <si>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</si>
  <si>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</si>
  <si>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</si>
  <si>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</si>
  <si>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</si>
  <si>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</si>
  <si>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</si>
  <si>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</si>
  <si>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</si>
  <si>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</si>
  <si>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</si>
  <si>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</si>
  <si>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</si>
  <si>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</si>
  <si>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</si>
  <si>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</si>
  <si>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</si>
  <si>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</si>
  <si>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</si>
  <si>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</si>
  <si>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</si>
  <si>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</si>
  <si>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</si>
  <si>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</si>
  <si>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</si>
  <si>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</si>
  <si>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</si>
  <si>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</si>
  <si>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</si>
  <si>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</si>
  <si>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</si>
  <si>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</si>
  <si>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</si>
  <si>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</si>
  <si>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</si>
  <si>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</si>
  <si>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</si>
  <si>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</si>
  <si>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</si>
  <si>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</si>
  <si>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</si>
  <si>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</si>
  <si>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</si>
  <si>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</si>
  <si>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</si>
  <si>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</si>
  <si>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</si>
  <si>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</si>
  <si>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</si>
  <si>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</si>
  <si>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</si>
  <si>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</si>
  <si>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</si>
  <si>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</si>
  <si>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</si>
  <si>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</si>
  <si>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</si>
  <si>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</si>
  <si>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</si>
  <si>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</si>
  <si>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</si>
  <si>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</si>
  <si>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</si>
  <si>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</si>
  <si>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</si>
  <si>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</si>
  <si>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</si>
  <si>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</si>
  <si>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</si>
  <si>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</si>
  <si>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</si>
  <si>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</si>
  <si>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</si>
  <si>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</si>
  <si>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</si>
  <si>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</si>
  <si>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</si>
  <si>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</si>
  <si>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</si>
  <si>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</si>
  <si>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</si>
  <si>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</si>
  <si>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</si>
  <si>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</si>
  <si>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</si>
  <si>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</si>
  <si>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</si>
  <si>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</si>
  <si>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</si>
  <si>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</si>
  <si>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</si>
  <si>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</si>
  <si>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</si>
  <si>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</si>
  <si>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</si>
  <si>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</si>
  <si>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</si>
  <si>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</si>
  <si>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</si>
  <si>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</si>
  <si>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</si>
  <si>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</si>
  <si>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</si>
  <si>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</si>
  <si>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</si>
  <si>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</si>
  <si>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</si>
  <si>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</si>
  <si>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</si>
  <si>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</si>
  <si>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</si>
  <si>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</si>
  <si>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</si>
  <si>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</si>
  <si>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</si>
  <si>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</si>
  <si>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</si>
  <si>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</si>
  <si>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</si>
  <si>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</si>
  <si>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</si>
  <si>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</si>
  <si>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</si>
  <si>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</si>
  <si>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</si>
  <si>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</si>
  <si>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</si>
  <si>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</si>
  <si>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</si>
  <si>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</si>
  <si>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</si>
  <si>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</si>
  <si>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</si>
  <si>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</si>
  <si>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</si>
  <si>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</si>
  <si>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</si>
  <si>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</si>
  <si>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</si>
  <si>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</si>
  <si>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</si>
  <si>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</si>
  <si>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</si>
  <si>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</si>
  <si>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</si>
  <si>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</si>
  <si>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</si>
  <si>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</si>
  <si>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</si>
  <si>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</si>
  <si>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</si>
  <si>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</si>
  <si>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</si>
  <si>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</si>
  <si>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</si>
  <si>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</si>
  <si>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</si>
  <si>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</si>
  <si>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</si>
  <si>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</si>
  <si>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</si>
  <si>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</si>
  <si>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</si>
  <si>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</si>
  <si>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</si>
  <si>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</si>
  <si>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</si>
  <si>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</si>
  <si>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</si>
  <si>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</si>
  <si>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</si>
  <si>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</si>
  <si>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</si>
  <si>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</si>
  <si>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</si>
  <si>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</si>
  <si>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</si>
  <si>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</si>
  <si>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</si>
  <si>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</si>
  <si>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</si>
  <si>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</si>
  <si>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</si>
  <si>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</si>
  <si>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</si>
  <si>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</si>
  <si>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</si>
  <si>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</si>
  <si>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</si>
  <si>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</si>
  <si>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</si>
  <si>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</si>
  <si>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</si>
  <si>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</si>
  <si>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</si>
  <si>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</si>
  <si>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</si>
  <si>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</si>
  <si>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</si>
  <si>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</si>
  <si>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</si>
  <si>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</si>
  <si>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</si>
  <si>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</si>
  <si>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</si>
  <si>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</si>
  <si>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</si>
  <si>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</si>
  <si>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</si>
  <si>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</si>
  <si>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</si>
  <si>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</si>
  <si>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</si>
  <si>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</si>
  <si>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</si>
  <si>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</si>
  <si>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</si>
  <si>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</si>
  <si>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</si>
  <si>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</si>
  <si>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</si>
  <si>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</si>
  <si>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</si>
  <si>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</si>
  <si>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</si>
  <si>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</si>
  <si>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</si>
  <si>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</si>
  <si>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</si>
  <si>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</si>
  <si>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</si>
  <si>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</si>
  <si>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</si>
  <si>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</si>
  <si>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</si>
  <si>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</si>
  <si>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</si>
  <si>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</si>
  <si>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</si>
  <si>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</si>
  <si>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</si>
  <si>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</si>
  <si>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</si>
  <si>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</si>
  <si>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</si>
  <si>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</si>
  <si>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</si>
  <si>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</si>
  <si>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</si>
  <si>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</si>
  <si>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</si>
  <si>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</si>
  <si>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</si>
  <si>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</si>
  <si>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</si>
  <si>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</si>
  <si>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</si>
  <si>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</si>
  <si>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</si>
  <si>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</si>
  <si>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</si>
  <si>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</si>
  <si>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</si>
  <si>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</si>
  <si>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</si>
  <si>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</si>
  <si>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</si>
  <si>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</si>
  <si>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</si>
  <si>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</si>
  <si>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</si>
  <si>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</si>
  <si>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</si>
  <si>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</si>
  <si>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</si>
  <si>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</si>
  <si>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</si>
  <si>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</si>
  <si>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</si>
  <si>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</si>
  <si>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</si>
  <si>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</si>
  <si>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</si>
  <si>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</si>
  <si>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</si>
  <si>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</si>
  <si>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</si>
  <si>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</si>
  <si>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</si>
  <si>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</si>
  <si>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</si>
  <si>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</si>
  <si>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</si>
  <si>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</si>
  <si>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</si>
  <si>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</si>
  <si>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</si>
  <si>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</si>
  <si>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</si>
  <si>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</si>
  <si>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</si>
  <si>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</si>
  <si>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</si>
  <si>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</si>
  <si>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</si>
  <si>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</si>
  <si>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</si>
  <si>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</si>
  <si>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</si>
  <si>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</si>
  <si>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</si>
  <si>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</si>
  <si>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</si>
  <si>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</si>
  <si>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</si>
  <si>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</si>
  <si>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</si>
  <si>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</si>
  <si>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</si>
  <si>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</si>
  <si>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</si>
  <si>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</si>
  <si>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</si>
  <si>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</si>
  <si>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</si>
  <si>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</si>
  <si>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</si>
  <si>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</si>
  <si>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</si>
  <si>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</si>
  <si>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</si>
  <si>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</si>
  <si>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</si>
  <si>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</si>
  <si>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</si>
  <si>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</si>
  <si>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</si>
  <si>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</si>
  <si>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</si>
  <si>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</si>
  <si>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</si>
  <si>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</si>
  <si>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</si>
  <si>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</si>
  <si>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</si>
  <si>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</si>
  <si>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</si>
  <si>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</si>
  <si>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</si>
  <si>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</si>
  <si>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</si>
  <si>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</si>
  <si>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</si>
  <si>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</si>
  <si>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</si>
  <si>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</si>
  <si>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</si>
  <si>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</si>
  <si>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</si>
  <si>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</si>
  <si>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</si>
  <si>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</si>
  <si>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</si>
  <si>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</si>
  <si>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</si>
  <si>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</si>
  <si>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</si>
  <si>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</si>
  <si>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</si>
  <si>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</si>
  <si>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</si>
  <si>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</si>
  <si>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</si>
  <si>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</si>
  <si>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</si>
  <si>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</si>
  <si>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</si>
  <si>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</si>
  <si>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</si>
  <si>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</si>
  <si>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</si>
  <si>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</si>
  <si>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</si>
  <si>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</si>
  <si>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</si>
  <si>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</si>
  <si>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</si>
  <si>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</si>
  <si>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</si>
  <si>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</si>
  <si>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</si>
  <si>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</si>
  <si>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</si>
  <si>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</si>
  <si>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</si>
  <si>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</si>
  <si>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</si>
  <si>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</si>
  <si>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</si>
  <si>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</si>
  <si>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</si>
  <si>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</si>
  <si>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</si>
  <si>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</si>
  <si>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</si>
  <si>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</si>
  <si>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</si>
  <si>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</si>
  <si>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</si>
  <si>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</si>
  <si>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</si>
  <si>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</si>
  <si>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</si>
  <si>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</si>
  <si>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</si>
  <si>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</si>
  <si>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</si>
  <si>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</si>
  <si>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</si>
  <si>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</si>
  <si>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</si>
  <si>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</si>
  <si>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</si>
  <si>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</si>
  <si>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</si>
  <si>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</si>
  <si>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</si>
  <si>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</si>
  <si>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</si>
  <si>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</si>
  <si>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</si>
  <si>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</si>
  <si>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</si>
  <si>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</si>
  <si>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</si>
  <si>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</si>
  <si>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</si>
  <si>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</si>
  <si>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</si>
  <si>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</si>
  <si>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</si>
  <si>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</si>
  <si>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</si>
  <si>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</si>
  <si>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</si>
  <si>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</si>
  <si>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</si>
  <si>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</si>
  <si>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</si>
  <si>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</si>
  <si>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</si>
  <si>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</si>
  <si>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</si>
  <si>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</si>
  <si>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</si>
  <si>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</si>
  <si>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</si>
  <si>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</si>
  <si>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</si>
  <si>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</si>
  <si>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</si>
  <si>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</si>
  <si>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</si>
  <si>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</si>
  <si>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</si>
  <si>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</si>
  <si>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</si>
  <si>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</si>
  <si>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</si>
  <si>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</si>
  <si>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</si>
  <si>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</si>
  <si>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</si>
  <si>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</si>
  <si>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</si>
  <si>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</si>
  <si>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</si>
  <si>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</si>
  <si>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</si>
  <si>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</si>
  <si>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</si>
  <si>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</si>
  <si>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</si>
  <si>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</si>
  <si>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</si>
  <si>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</si>
  <si>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</si>
  <si>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</si>
  <si>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</si>
  <si>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</si>
  <si>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</si>
  <si>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</si>
  <si>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</si>
  <si>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</si>
  <si>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</si>
  <si>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</si>
  <si>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</si>
  <si>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</si>
  <si>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</si>
  <si>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</si>
  <si>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</si>
  <si>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</si>
  <si>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</si>
  <si>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</si>
  <si>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</si>
  <si>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</si>
  <si>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</si>
  <si>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</si>
  <si>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</si>
  <si>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</si>
  <si>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</si>
  <si>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</si>
  <si>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</si>
  <si>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</si>
  <si>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</si>
  <si>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</si>
  <si>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</si>
  <si>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</si>
  <si>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</si>
  <si>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</si>
  <si>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</si>
  <si>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</si>
  <si>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</si>
  <si>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</si>
  <si>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</si>
  <si>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</si>
  <si>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</si>
  <si>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</si>
  <si>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</si>
  <si>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</si>
  <si>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</si>
  <si>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</si>
  <si>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</si>
  <si>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</si>
  <si>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</si>
  <si>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</si>
  <si>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</si>
  <si>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</si>
  <si>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</si>
  <si>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</si>
  <si>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</si>
  <si>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</si>
  <si>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</si>
  <si>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</si>
  <si>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</si>
  <si>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</si>
  <si>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</si>
  <si>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</si>
  <si>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</si>
  <si>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</si>
  <si>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</si>
  <si>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</si>
  <si>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</si>
  <si>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</si>
  <si>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</si>
  <si>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</si>
  <si>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</si>
  <si>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</si>
  <si>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</si>
  <si>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</si>
  <si>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</si>
  <si>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</si>
  <si>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</si>
  <si>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</si>
  <si>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</si>
  <si>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</si>
  <si>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</si>
  <si>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</si>
  <si>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</si>
  <si>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</si>
  <si>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</si>
  <si>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</si>
  <si>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</si>
  <si>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</si>
  <si>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</si>
  <si>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</si>
  <si>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</si>
  <si>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</si>
  <si>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</si>
  <si>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</si>
  <si>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</si>
  <si>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</si>
  <si>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</si>
  <si>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</si>
  <si>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</si>
  <si>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</si>
  <si>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</si>
  <si>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</si>
  <si>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</si>
  <si>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</si>
  <si>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</si>
  <si>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</si>
  <si>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</si>
  <si>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</si>
  <si>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</si>
  <si>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</si>
  <si>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</si>
  <si>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</si>
  <si>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</si>
  <si>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</si>
  <si>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</si>
  <si>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</si>
  <si>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</si>
  <si>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</si>
  <si>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</si>
  <si>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</si>
  <si>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</si>
  <si>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</si>
  <si>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</si>
  <si>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</si>
  <si>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</si>
  <si>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</si>
  <si>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</si>
  <si>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</si>
  <si>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</si>
  <si>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</si>
  <si>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</si>
  <si>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</si>
  <si>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</si>
  <si>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</si>
  <si>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</si>
  <si>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</si>
  <si>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</si>
  <si>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</si>
  <si>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</si>
  <si>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</si>
  <si>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</si>
  <si>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</si>
  <si>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</si>
  <si>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</si>
  <si>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</si>
  <si>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</si>
  <si>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</si>
  <si>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</si>
  <si>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</si>
  <si>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</si>
  <si>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</si>
  <si>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</si>
  <si>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</si>
  <si>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</si>
  <si>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</si>
  <si>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</si>
  <si>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</si>
  <si>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</si>
  <si>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</si>
  <si>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</si>
  <si>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</si>
  <si>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</si>
  <si>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</si>
  <si>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</si>
  <si>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</si>
  <si>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</si>
  <si>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</si>
  <si>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</si>
  <si>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</si>
  <si>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</si>
  <si>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</si>
  <si>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</si>
  <si>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</si>
  <si>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</si>
  <si>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</si>
  <si>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</si>
  <si>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</si>
  <si>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</si>
  <si>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</si>
  <si>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</si>
  <si>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</si>
  <si>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</si>
  <si>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</si>
  <si>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</si>
  <si>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</si>
  <si>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</si>
  <si>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</si>
  <si>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</si>
  <si>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</si>
  <si>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</si>
  <si>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</si>
  <si>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</si>
  <si>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</si>
  <si>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</si>
  <si>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</si>
  <si>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</si>
  <si>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</si>
  <si>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</si>
  <si>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</si>
  <si>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</si>
  <si>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</si>
  <si>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</si>
  <si>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</si>
  <si>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</si>
  <si>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</si>
  <si>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</si>
  <si>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</si>
  <si>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</si>
  <si>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</si>
  <si>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</si>
  <si>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</si>
  <si>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</si>
  <si>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</si>
  <si>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</si>
  <si>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</si>
  <si>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</si>
  <si>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</si>
  <si>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</si>
  <si>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</si>
  <si>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</si>
  <si>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</si>
  <si>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</si>
  <si>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</si>
  <si>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</si>
  <si>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</si>
  <si>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</si>
  <si>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</si>
  <si>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</si>
  <si>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</si>
  <si>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</si>
  <si>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</si>
  <si>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</si>
  <si>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</si>
  <si>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</si>
  <si>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</si>
  <si>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</si>
  <si>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</si>
  <si>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</si>
  <si>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</si>
  <si>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</si>
  <si>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</si>
  <si>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</si>
  <si>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</si>
  <si>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</si>
  <si>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</si>
  <si>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</si>
  <si>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</si>
  <si>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</si>
  <si>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</si>
  <si>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</si>
  <si>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</si>
  <si>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</si>
  <si>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</si>
  <si>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</si>
  <si>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</si>
  <si>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</si>
  <si>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</si>
  <si>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</si>
  <si>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</si>
  <si>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</si>
  <si>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</si>
  <si>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</si>
  <si>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</si>
  <si>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</si>
  <si>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</si>
  <si>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</si>
  <si>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</si>
  <si>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</si>
  <si>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</si>
  <si>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</si>
  <si>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</si>
  <si>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</si>
  <si>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</si>
  <si>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</si>
  <si>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</si>
  <si>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</si>
  <si>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</si>
  <si>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</si>
  <si>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</si>
  <si>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</si>
  <si>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</si>
  <si>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</si>
  <si>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</si>
  <si>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</si>
  <si>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</si>
  <si>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</si>
  <si>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</si>
  <si>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</si>
  <si>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</si>
  <si>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</si>
  <si>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</si>
  <si>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</si>
  <si>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</si>
  <si>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</si>
  <si>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</si>
  <si>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</si>
  <si>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</si>
  <si>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</si>
  <si>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</si>
  <si>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</si>
  <si>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</si>
  <si>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</si>
  <si>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</si>
  <si>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</si>
  <si>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</si>
  <si>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</si>
  <si>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</si>
  <si>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</si>
  <si>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</si>
  <si>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</si>
  <si>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</si>
  <si>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</si>
  <si>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</si>
  <si>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</si>
  <si>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</si>
  <si>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</si>
  <si>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</si>
  <si>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</si>
  <si>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</si>
  <si>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</si>
  <si>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</si>
  <si>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</si>
  <si>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</si>
  <si>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</si>
  <si>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</si>
  <si>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</si>
  <si>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</si>
  <si>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</si>
  <si>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</si>
  <si>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</si>
  <si>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</si>
  <si>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</si>
  <si>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</si>
  <si>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</si>
  <si>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</si>
  <si>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</si>
  <si>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</si>
  <si>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</si>
  <si>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</si>
  <si>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</si>
  <si>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</si>
  <si>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</si>
  <si>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</si>
  <si>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</si>
  <si>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</si>
  <si>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</si>
  <si>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</si>
  <si>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</si>
  <si>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</si>
  <si>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</si>
  <si>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</si>
  <si>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</si>
  <si>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</si>
  <si>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</si>
  <si>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</si>
  <si>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</si>
  <si>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</si>
  <si>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</si>
  <si>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</si>
  <si>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</si>
  <si>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</si>
  <si>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</si>
  <si>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</si>
  <si>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</si>
  <si>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</si>
  <si>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</si>
  <si>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</si>
  <si>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</si>
  <si>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</si>
  <si>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</si>
  <si>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</si>
  <si>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</si>
  <si>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</si>
  <si>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</si>
  <si>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</si>
  <si>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</si>
  <si>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</si>
  <si>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</si>
  <si>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</si>
  <si>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</si>
  <si>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</si>
  <si>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</si>
  <si>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</si>
  <si>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</si>
  <si>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</si>
  <si>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</si>
  <si>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</si>
  <si>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</si>
  <si>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</si>
  <si>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</si>
  <si>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</si>
  <si>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</si>
  <si>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</si>
  <si>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</si>
  <si>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</si>
  <si>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</si>
  <si>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</si>
  <si>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</si>
  <si>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</si>
  <si>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</si>
  <si>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</si>
  <si>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</si>
  <si>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</si>
  <si>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</si>
  <si>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</si>
  <si>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</si>
  <si>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</si>
  <si>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</si>
  <si>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</si>
  <si>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</si>
  <si>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</si>
  <si>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</si>
  <si>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</si>
  <si>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</si>
  <si>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</si>
  <si>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</si>
  <si>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</si>
  <si>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</si>
  <si>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</si>
  <si>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</si>
  <si>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</si>
  <si>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</si>
  <si>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</si>
  <si>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</si>
  <si>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</si>
  <si>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</si>
  <si>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</si>
  <si>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</si>
  <si>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</si>
  <si>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</si>
  <si>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</si>
  <si>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</si>
  <si>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</si>
  <si>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</si>
  <si>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</si>
  <si>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</si>
  <si>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</si>
  <si>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</si>
  <si>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</si>
  <si>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</si>
  <si>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</si>
  <si>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</si>
  <si>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</si>
  <si>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</si>
  <si>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</si>
  <si>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</si>
  <si>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</si>
  <si>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</si>
  <si>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</si>
  <si>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</si>
  <si>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</si>
  <si>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</si>
  <si>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</si>
  <si>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</si>
  <si>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</si>
  <si>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</si>
  <si>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</si>
  <si>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</si>
  <si>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</si>
  <si>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</si>
  <si>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</si>
  <si>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</si>
  <si>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</si>
  <si>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</si>
  <si>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</si>
  <si>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</si>
  <si>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</si>
  <si>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</si>
  <si>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</si>
  <si>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</si>
  <si>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</si>
  <si>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</si>
  <si>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</si>
  <si>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</si>
  <si>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</si>
  <si>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</si>
  <si>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</si>
  <si>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</si>
  <si>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</si>
  <si>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</si>
  <si>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</si>
  <si>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</si>
  <si>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</si>
  <si>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</si>
  <si>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</si>
  <si>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</si>
  <si>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</si>
  <si>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</si>
  <si>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</si>
  <si>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</si>
  <si>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</si>
  <si>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</si>
  <si>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</si>
  <si>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</si>
  <si>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</si>
  <si>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</si>
  <si>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</si>
  <si>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</si>
  <si>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</si>
  <si>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</si>
  <si>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</si>
  <si>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</si>
  <si>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</si>
  <si>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</si>
  <si>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</si>
  <si>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</si>
  <si>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</si>
  <si>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</si>
  <si>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</si>
  <si>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</si>
  <si>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</si>
  <si>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</si>
  <si>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</si>
  <si>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</si>
  <si>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</si>
  <si>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</si>
  <si>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</si>
  <si>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</si>
  <si>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</si>
  <si>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</si>
  <si>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</si>
  <si>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</si>
  <si>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</si>
  <si>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</si>
  <si>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Sum of Quantity</t>
  </si>
  <si>
    <t>Sum of Amount</t>
  </si>
  <si>
    <t>Total Sales</t>
  </si>
  <si>
    <t>Total Quantity Sold</t>
  </si>
  <si>
    <t xml:space="preserve">Total Amount </t>
  </si>
  <si>
    <t>Average Rating</t>
  </si>
  <si>
    <t>Average Delivery Days</t>
  </si>
  <si>
    <t>Qty</t>
  </si>
  <si>
    <t xml:space="preserve">Amount </t>
  </si>
  <si>
    <t xml:space="preserve"> Avg. Rating </t>
  </si>
  <si>
    <t>Avg. Days</t>
  </si>
  <si>
    <t>Values For Display</t>
  </si>
  <si>
    <t>Row Labels</t>
  </si>
  <si>
    <t>Grand Total</t>
  </si>
  <si>
    <t>Female</t>
  </si>
  <si>
    <t>Male</t>
  </si>
  <si>
    <t>Other</t>
  </si>
  <si>
    <t>Unknown</t>
  </si>
  <si>
    <t>Column Labels</t>
  </si>
  <si>
    <t>For Matrix</t>
  </si>
  <si>
    <t>Order Qty Analysis</t>
  </si>
  <si>
    <t>Count of TX ID</t>
  </si>
  <si>
    <t>6 to 10</t>
  </si>
  <si>
    <t>More than 10</t>
  </si>
  <si>
    <t>Product By Qty</t>
  </si>
  <si>
    <t>Geographical Analysis</t>
  </si>
  <si>
    <t>Map Chart Stuff (Qty)</t>
  </si>
  <si>
    <t xml:space="preserve">State </t>
  </si>
  <si>
    <t xml:space="preserve">County </t>
  </si>
  <si>
    <t>Map Chart for Account</t>
  </si>
  <si>
    <t>Shipment Duration Analysis</t>
  </si>
  <si>
    <t>Customer Satisfaction Analysis</t>
  </si>
  <si>
    <t>Jan</t>
  </si>
  <si>
    <t>Feb</t>
  </si>
  <si>
    <t>Mar</t>
  </si>
  <si>
    <t>E-Commerce Dashboard</t>
  </si>
  <si>
    <t>Product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</si>
</sst>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
    <numFmt numFmtId="166" formatCode="0.0%"/>
  </numFmts>
  <fonts count="5" x14ac:knownFonts="1">
    <font>
      <sz val="11"/>
      <color theme="1"/>
      <name val="Aptos Narrow"/>
      <family val="2"/>
      <scheme val="minor"/>
    </font>
    <font>
      <b/>
      <sz val="11"/>
      <color theme="1"/>
      <name val="Aptos Narrow"/>
      <family val="2"/>
      <scheme val="minor"/>
    </font>
    <font>
      <sz val="14"/>
      <color rgb="FF006100"/>
      <name val="Aptos Narrow"/>
      <family val="2"/>
      <scheme val="minor"/>
    </font>
    <font>
      <sz val="9"/>
      <color theme="1"/>
      <name val="Aptos Narrow"/>
      <family val="2"/>
      <scheme val="minor"/>
    </font>
    <font>
      <sz val="48"/>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C6EFCE"/>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2" fillId="3" borderId="0" applyNumberFormat="0" applyBorder="0" applyAlignment="0" applyProtection="0"/>
  </cellStyleXfs>
  <cellXfs count="27">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3" fontId="0" fillId="0" borderId="0" xfId="0" applyNumberFormat="1"/>
    <xf numFmtId="164" fontId="0" fillId="0" borderId="0" xfId="0" applyNumberFormat="1"/>
    <xf numFmtId="165" fontId="0" fillId="0" borderId="0" xfId="0" applyNumberFormat="1"/>
    <xf numFmtId="0" fontId="2" fillId="3" borderId="0" xfId="1"/>
    <xf numFmtId="0" fontId="0" fillId="0" borderId="0" xfId="0" applyAlignment="1">
      <alignment horizontal="center" vertical="center"/>
    </xf>
    <xf numFmtId="3" fontId="0" fillId="0" borderId="0" xfId="0" applyNumberForma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166" fontId="3" fillId="0" borderId="1" xfId="0" applyNumberFormat="1" applyFont="1" applyBorder="1"/>
    <xf numFmtId="166" fontId="3" fillId="0" borderId="2" xfId="0" applyNumberFormat="1" applyFont="1" applyBorder="1"/>
    <xf numFmtId="166" fontId="3" fillId="0" borderId="3" xfId="0" applyNumberFormat="1" applyFont="1" applyBorder="1"/>
    <xf numFmtId="166" fontId="3" fillId="0" borderId="4" xfId="0" applyNumberFormat="1" applyFont="1" applyBorder="1"/>
    <xf numFmtId="166" fontId="3" fillId="0" borderId="5" xfId="0" applyNumberFormat="1" applyFont="1" applyBorder="1"/>
    <xf numFmtId="166" fontId="3" fillId="0" borderId="6" xfId="0" applyNumberFormat="1" applyFont="1" applyBorder="1"/>
    <xf numFmtId="166" fontId="3" fillId="0" borderId="7" xfId="0" applyNumberFormat="1" applyFont="1" applyBorder="1"/>
    <xf numFmtId="166" fontId="3" fillId="0" borderId="8" xfId="0" applyNumberFormat="1" applyFont="1" applyBorder="1"/>
    <xf numFmtId="166" fontId="3" fillId="0" borderId="9" xfId="0" applyNumberFormat="1" applyFont="1" applyBorder="1"/>
    <xf numFmtId="0" fontId="0" fillId="0" borderId="0" xfId="0" applyProtection="1">
      <protection hidden="1"/>
    </xf>
    <xf numFmtId="0" fontId="4" fillId="0" borderId="0" xfId="0" applyFont="1" applyAlignment="1" applyProtection="1">
      <alignment horizontal="center"/>
      <protection hidden="1"/>
    </xf>
    <xf numFmtId="0" fontId="0" fillId="0" borderId="0" xfId="0" applyAlignment="1" applyProtection="1">
      <alignment horizontal="center"/>
      <protection hidden="1"/>
    </xf>
  </cellXfs>
  <cellStyles count="2">
    <cellStyle name="Good" xfId="1" builtinId="26"/>
    <cellStyle name="Normal" xfId="0" builtinId="0"/>
  </cellStyles>
  <dxfs count="6">
    <dxf>
      <numFmt numFmtId="0" formatCode="General"/>
    </dxf>
    <dxf>
      <numFmt numFmtId="0" formatCode="General"/>
    </dxf>
    <dxf>
      <numFmt numFmtId="0" formatCode="General"/>
    </dxf>
    <dxf>
      <numFmt numFmtId="167" formatCode="d\-mmm\-yy"/>
    </dxf>
    <dxf>
      <numFmt numFmtId="167" formatCode="d\-mmm\-yy"/>
    </dxf>
    <dxf>
      <fill>
        <gradientFill degree="90">
          <stop position="0">
            <color theme="0"/>
          </stop>
          <stop position="1">
            <color theme="9" tint="-0.25098422193060094"/>
          </stop>
        </gradientFill>
      </fill>
    </dxf>
  </dxfs>
  <tableStyles count="3" defaultTableStyle="TableStyleMedium2" defaultPivotStyle="PivotStyleLight16">
    <tableStyle name="Invisible" pivot="0" table="0" count="0" xr9:uid="{45D7CB63-A521-43E8-ADFC-8912B4C13F32}"/>
    <tableStyle name="Slicer Style 1" pivot="0" table="0" count="4" xr9:uid="{2A64C28D-9C3F-4180-B7E3-BAC2157E6E7F}">
      <tableStyleElement type="wholeTable" dxfId="5"/>
    </tableStyle>
    <tableStyle name="Slicer Style 2" pivot="0" table="0" count="1" xr9:uid="{C4DF7C08-6464-48CE-B98F-49787414F5E8}"/>
  </tableStyles>
  <colors>
    <mruColors>
      <color rgb="FFFF9900"/>
      <color rgb="FFE9D7ED"/>
      <color rgb="FFDBBDE1"/>
    </mruColors>
  </colors>
  <extLst>
    <ext xmlns:x14="http://schemas.microsoft.com/office/spreadsheetml/2009/9/main" uri="{46F421CA-312F-682f-3DD2-61675219B42D}">
      <x14:dxfs count="4">
        <dxf>
          <font>
            <b/>
            <i val="0"/>
          </font>
          <fill>
            <gradientFill degree="90">
              <stop position="0">
                <color theme="0"/>
              </stop>
              <stop position="1">
                <color rgb="FF002060"/>
              </stop>
            </gradientFill>
          </fill>
          <border diagonalUp="0" diagonalDown="0">
            <left/>
            <right/>
            <top/>
            <bottom/>
            <vertical/>
            <horizontal/>
          </border>
        </dxf>
        <dxf>
          <fill>
            <gradientFill degree="90">
              <stop position="0">
                <color theme="0"/>
              </stop>
              <stop position="1">
                <color rgb="FFFFC000"/>
              </stop>
            </gradientFill>
          </fill>
        </dxf>
        <dxf>
          <fill>
            <gradientFill degree="90">
              <stop position="0">
                <color theme="0"/>
              </stop>
              <stop position="1">
                <color theme="9" tint="-0.25098422193060094"/>
              </stop>
            </gradientFill>
          </fill>
        </dxf>
        <dxf>
          <fill>
            <gradientFill degree="90">
              <stop position="0">
                <color theme="0"/>
              </stop>
              <stop position="1">
                <color rgb="FFFFC00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SelectedItemWithData" dxfId="1"/>
          </x14:slicerStyleElements>
        </x14:slicerStyle>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[ecommerce-sales-logistics-dashboard.xlsx]1_pivot!pvt_qty</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Last 13</a:t>
            </a:r>
            <a:r>
              <a:rPr lang="en-IN" baseline="0">
                <a:solidFill>
                  <a:sysClr val="windowText" lastClr="000000"/>
                </a:solidFill>
              </a:rPr>
              <a:t> Weeks Trends -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'1_pivot'!$B$8</c:f>
              <c:strCache>
                <c:ptCount val="1"/>
                <c:pt idx="0">
                  <c:v>Sum of Quantity</c:v>
                </c:pt>
              </c:strCache>
            </c:strRef>
          </c:tx>
          <c:spPr>
            <a:solidFill>
              <a:schemeClr val="accent1"/>
            </a:solidFill>
            <a:ln>
              <a:noFill/>
            </a:ln>
            <a:effectLst/>
          </c:spPr>
          <c:invertIfNegative val="0"/>
          <c:cat>
            <c:strRef>
              <c:f>'1_pivot'!$A$9:$A$22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'1_pivot'!$B$9:$B$22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extLst>
            <c:ext xmlns:c16="http://schemas.microsoft.com/office/drawing/2014/chart" uri="{C3380CC4-5D6E-409C-BE32-E72D297353CC}">
              <c16:uniqueId val="{00000000-7690-4FFC-BE04-6098FBF80ADF}"/>
            </c:ext>
          </c:extLst>
        </c:ser>
        <c:dLbls>
          <c:showLegendKey val="0"/>
          <c:showVal val="0"/>
          <c:showCatName val="0"/>
          <c:showSerName val="0"/>
          <c:showPercent val="0"/>
          <c:showBubbleSize val="0"/>
        </c:dLbls>
        <c:gapWidth val="150"/>
        <c:axId val="722454655"/>
        <c:axId val="1894857375"/>
      </c:barChart>
      <c:lineChart>
        <c:grouping val="standard"/>
        <c:varyColors val="0"/>
        <c:ser>
          <c:idx val="1"/>
          <c:order val="1"/>
          <c:tx>
            <c:strRef>
              <c:f>'1_pivot'!$C$8</c:f>
              <c:strCache>
                <c:ptCount val="1"/>
                <c:pt idx="0">
                  <c:v>Sum of Amount</c:v>
                </c:pt>
              </c:strCache>
            </c:strRef>
          </c:tx>
          <c:spPr>
            <a:ln w="28575" cap="rnd">
              <a:solidFill>
                <a:schemeClr val="accent2"/>
              </a:solidFill>
              <a:round/>
            </a:ln>
            <a:effectLst/>
          </c:spPr>
          <c:marker>
            <c:symbol val="none"/>
          </c:marker>
          <c:cat>
            <c:strRef>
              <c:f>'1_pivot'!$A$9:$A$22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'1_pivot'!$C$9:$C$22</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7690-4FFC-BE04-6098FBF80ADF}"/>
            </c:ext>
          </c:extLst>
        </c:ser>
        <c:dLbls>
          <c:showLegendKey val="0"/>
          <c:showVal val="0"/>
          <c:showCatName val="0"/>
          <c:showSerName val="0"/>
          <c:showPercent val="0"/>
          <c:showBubbleSize val="0"/>
        </c:dLbls>
        <c:marker val="1"/>
        <c:smooth val="0"/>
        <c:axId val="1912594959"/>
        <c:axId val="430256671"/>
      </c:lineChart>
      <c:catAx>
        <c:axId val="72245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857375"/>
        <c:crosses val="autoZero"/>
        <c:auto val="1"/>
        <c:lblAlgn val="ctr"/>
        <c:lblOffset val="100"/>
        <c:noMultiLvlLbl val="0"/>
      </c:catAx>
      <c:valAx>
        <c:axId val="189485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54655"/>
        <c:crosses val="autoZero"/>
        <c:crossBetween val="between"/>
      </c:valAx>
      <c:valAx>
        <c:axId val="430256671"/>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94959"/>
        <c:crosses val="max"/>
        <c:crossBetween val="between"/>
      </c:valAx>
      <c:catAx>
        <c:axId val="1912594959"/>
        <c:scaling>
          <c:orientation val="minMax"/>
        </c:scaling>
        <c:delete val="1"/>
        <c:axPos val="b"/>
        <c:numFmt formatCode="General" sourceLinked="1"/>
        <c:majorTickMark val="out"/>
        <c:minorTickMark val="none"/>
        <c:tickLblPos val="nextTo"/>
        <c:crossAx val="4302566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[ecommerce-sales-logistics-dashboard.xlsx]3_pivot!pvt_rating</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'3_pivot'!$B$3</c:f>
              <c:strCache>
                <c:ptCount val="1"/>
                <c:pt idx="0">
                  <c:v>Total</c:v>
                </c:pt>
              </c:strCache>
            </c:strRef>
          </c:tx>
          <c:spPr>
            <a:solidFill>
              <a:schemeClr val="accent1"/>
            </a:solidFill>
            <a:ln>
              <a:solidFill>
                <a:schemeClr val="bg1"/>
              </a:solidFill>
            </a:ln>
            <a:effectLst/>
          </c:spPr>
          <c:invertIfNegative val="0"/>
          <c:cat>
            <c:strRef>
              <c:f>'3_pivot'!$A$4:$A$11</c:f>
              <c:strCache>
                <c:ptCount val="7"/>
                <c:pt idx="0">
                  <c:v>1</c:v>
                </c:pt>
                <c:pt idx="1">
                  <c:v>2</c:v>
                </c:pt>
                <c:pt idx="2">
                  <c:v>3</c:v>
                </c:pt>
                <c:pt idx="3">
                  <c:v>4</c:v>
                </c:pt>
                <c:pt idx="4">
                  <c:v>5</c:v>
                </c:pt>
                <c:pt idx="5">
                  <c:v>6 to 10</c:v>
                </c:pt>
                <c:pt idx="6">
                  <c:v>More than 10</c:v>
                </c:pt>
              </c:strCache>
            </c:strRef>
          </c:cat>
          <c:val>
            <c:numRef>
              <c:f>'3_pivot'!$B$4:$B$11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015-4178-9AC3-DFF9B82CA4AD}"/>
            </c:ext>
          </c:extLst>
        </c:ser>
        <c:dLbls>
          <c:showLegendKey val="0"/>
          <c:showVal val="0"/>
          <c:showCatName val="0"/>
          <c:showSerName val="0"/>
          <c:showPercent val="0"/>
          <c:showBubbleSize val="0"/>
        </c:dLbls>
        <c:gapWidth val="0"/>
        <c:overlap val="-27"/>
        <c:axId val="1329286031"/>
        <c:axId val="1972170047"/>
      </c:barChart>
      <c:catAx>
        <c:axId val="132928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170047"/>
        <c:crosses val="autoZero"/>
        <c:auto val="1"/>
        <c:lblAlgn val="ctr"/>
        <c:lblOffset val="100"/>
        <c:noMultiLvlLbl val="0"/>
      </c:catAx>
      <c:valAx>
        <c:axId val="197217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8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[ecommerce-sales-logistics-dashboard.xlsx]4_pivot!pvt_productbyqty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Which Products are Popular? </a:t>
            </a:r>
            <a:r>
              <a:rPr lang="en-US" sz="1050"/>
              <a:t>Breakdown by </a:t>
            </a:r>
            <a:r>
              <a:rPr lang="en-US" sz="1050" baseline="0"/>
              <a:t> </a:t>
            </a:r>
            <a:r>
              <a:rPr lang="en-US" sz="1050"/>
              <a:t>Gender</a:t>
            </a:r>
          </a:p>
        </c:rich>
      </c:tx>
      <c:layout>
        <c:manualLayout>
          <c:xMode val="edge"/>
          <c:yMode val="edge"/>
          <c:x val="0.15632662325191612"/>
          <c:y val="1.7021276595744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'4_pivot'!$B$3:$B$4</c:f>
              <c:strCache>
                <c:ptCount val="1"/>
                <c:pt idx="0">
                  <c:v>Female</c:v>
                </c:pt>
              </c:strCache>
            </c:strRef>
          </c:tx>
          <c:spPr>
            <a:solidFill>
              <a:schemeClr val="accent1"/>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'4_pivot'!$B$5:$B$25</c:f>
              <c:numCache>
                <c:formatCode>General</c:formatCode>
                <c:ptCount val="20"/>
                <c:pt idx="0">
                  <c:v>26</c:v>
                </c:pt>
                <c:pt idx="1">
                  <c:v>43</c:v>
                </c:pt>
                <c:pt idx="2">
                  <c:v>75</c:v>
                </c:pt>
                <c:pt idx="3">
                  <c:v>99</c:v>
                </c:pt>
                <c:pt idx="4">
                  <c:v>127</c:v>
                </c:pt>
                <c:pt idx="5">
                  <c:v>146</c:v>
                </c:pt>
                <c:pt idx="6">
                  <c:v>153</c:v>
                </c:pt>
                <c:pt idx="7">
                  <c:v>179</c:v>
                </c:pt>
                <c:pt idx="8">
                  <c:v>189</c:v>
                </c:pt>
                <c:pt idx="9">
                  <c:v>234</c:v>
                </c:pt>
                <c:pt idx="10">
                  <c:v>264</c:v>
                </c:pt>
                <c:pt idx="11">
                  <c:v>296</c:v>
                </c:pt>
                <c:pt idx="12">
                  <c:v>428</c:v>
                </c:pt>
                <c:pt idx="13">
                  <c:v>431</c:v>
                </c:pt>
                <c:pt idx="14">
                  <c:v>445</c:v>
                </c:pt>
                <c:pt idx="15">
                  <c:v>482</c:v>
                </c:pt>
                <c:pt idx="16">
                  <c:v>568</c:v>
                </c:pt>
                <c:pt idx="17">
                  <c:v>627</c:v>
                </c:pt>
                <c:pt idx="18">
                  <c:v>716</c:v>
                </c:pt>
                <c:pt idx="19">
                  <c:v>744</c:v>
                </c:pt>
              </c:numCache>
            </c:numRef>
          </c:val>
          <c:extLst>
            <c:ext xmlns:c16="http://schemas.microsoft.com/office/drawing/2014/chart" uri="{C3380CC4-5D6E-409C-BE32-E72D297353CC}">
              <c16:uniqueId val="{00000000-1ABE-48B7-A944-D13005E8DED5}"/>
            </c:ext>
          </c:extLst>
        </c:ser>
        <c:ser>
          <c:idx val="1"/>
          <c:order val="1"/>
          <c:tx>
            <c:strRef>
              <c:f>'4_pivot'!$C$3:$C$4</c:f>
              <c:strCache>
                <c:ptCount val="1"/>
                <c:pt idx="0">
                  <c:v>Male</c:v>
                </c:pt>
              </c:strCache>
            </c:strRef>
          </c:tx>
          <c:spPr>
            <a:solidFill>
              <a:schemeClr val="accent2"/>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'4_pivot'!$C$5:$C$25</c:f>
              <c:numCache>
                <c:formatCode>General</c:formatCode>
                <c:ptCount val="20"/>
                <c:pt idx="0">
                  <c:v>35</c:v>
                </c:pt>
                <c:pt idx="1">
                  <c:v>90</c:v>
                </c:pt>
                <c:pt idx="2">
                  <c:v>103</c:v>
                </c:pt>
                <c:pt idx="3">
                  <c:v>69</c:v>
                </c:pt>
                <c:pt idx="4">
                  <c:v>118</c:v>
                </c:pt>
                <c:pt idx="5">
                  <c:v>94</c:v>
                </c:pt>
                <c:pt idx="6">
                  <c:v>246</c:v>
                </c:pt>
                <c:pt idx="7">
                  <c:v>76</c:v>
                </c:pt>
                <c:pt idx="8">
                  <c:v>168</c:v>
                </c:pt>
                <c:pt idx="9">
                  <c:v>93</c:v>
                </c:pt>
                <c:pt idx="10">
                  <c:v>318</c:v>
                </c:pt>
                <c:pt idx="11">
                  <c:v>275</c:v>
                </c:pt>
                <c:pt idx="12">
                  <c:v>293</c:v>
                </c:pt>
                <c:pt idx="13">
                  <c:v>187</c:v>
                </c:pt>
                <c:pt idx="14">
                  <c:v>202</c:v>
                </c:pt>
                <c:pt idx="15">
                  <c:v>295</c:v>
                </c:pt>
                <c:pt idx="16">
                  <c:v>306</c:v>
                </c:pt>
                <c:pt idx="17">
                  <c:v>393</c:v>
                </c:pt>
                <c:pt idx="18">
                  <c:v>598</c:v>
                </c:pt>
                <c:pt idx="19">
                  <c:v>713</c:v>
                </c:pt>
              </c:numCache>
            </c:numRef>
          </c:val>
          <c:extLst>
            <c:ext xmlns:c16="http://schemas.microsoft.com/office/drawing/2014/chart" uri="{C3380CC4-5D6E-409C-BE32-E72D297353CC}">
              <c16:uniqueId val="{00000005-1ABE-48B7-A944-D13005E8DED5}"/>
            </c:ext>
          </c:extLst>
        </c:ser>
        <c:ser>
          <c:idx val="2"/>
          <c:order val="2"/>
          <c:tx>
            <c:strRef>
              <c:f>'4_pivot'!$D$3:$D$4</c:f>
              <c:strCache>
                <c:ptCount val="1"/>
                <c:pt idx="0">
                  <c:v>Other</c:v>
                </c:pt>
              </c:strCache>
            </c:strRef>
          </c:tx>
          <c:spPr>
            <a:solidFill>
              <a:schemeClr val="accent3"/>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'4_pivot'!$D$5:$D$25</c:f>
              <c:numCache>
                <c:formatCode>General</c:formatCode>
                <c:ptCount val="20"/>
                <c:pt idx="0">
                  <c:v>4</c:v>
                </c:pt>
                <c:pt idx="1">
                  <c:v>8</c:v>
                </c:pt>
                <c:pt idx="2">
                  <c:v>4</c:v>
                </c:pt>
                <c:pt idx="3">
                  <c:v>3</c:v>
                </c:pt>
                <c:pt idx="4">
                  <c:v>13</c:v>
                </c:pt>
                <c:pt idx="5">
                  <c:v>4</c:v>
                </c:pt>
                <c:pt idx="6">
                  <c:v>30</c:v>
                </c:pt>
                <c:pt idx="7">
                  <c:v>3</c:v>
                </c:pt>
                <c:pt idx="8">
                  <c:v>10</c:v>
                </c:pt>
                <c:pt idx="9">
                  <c:v>19</c:v>
                </c:pt>
                <c:pt idx="10">
                  <c:v>15</c:v>
                </c:pt>
                <c:pt idx="11">
                  <c:v>9</c:v>
                </c:pt>
                <c:pt idx="13">
                  <c:v>14</c:v>
                </c:pt>
                <c:pt idx="14">
                  <c:v>14</c:v>
                </c:pt>
                <c:pt idx="15">
                  <c:v>8</c:v>
                </c:pt>
                <c:pt idx="16">
                  <c:v>22</c:v>
                </c:pt>
                <c:pt idx="17">
                  <c:v>29</c:v>
                </c:pt>
                <c:pt idx="18">
                  <c:v>18</c:v>
                </c:pt>
                <c:pt idx="19">
                  <c:v>90</c:v>
                </c:pt>
              </c:numCache>
            </c:numRef>
          </c:val>
          <c:extLst>
            <c:ext xmlns:c16="http://schemas.microsoft.com/office/drawing/2014/chart" uri="{C3380CC4-5D6E-409C-BE32-E72D297353CC}">
              <c16:uniqueId val="{00000006-1ABE-48B7-A944-D13005E8DED5}"/>
            </c:ext>
          </c:extLst>
        </c:ser>
        <c:ser>
          <c:idx val="3"/>
          <c:order val="3"/>
          <c:tx>
            <c:strRef>
              <c:f>'4_pivot'!$E$3:$E$4</c:f>
              <c:strCache>
                <c:ptCount val="1"/>
                <c:pt idx="0">
                  <c:v>Unknown</c:v>
                </c:pt>
              </c:strCache>
            </c:strRef>
          </c:tx>
          <c:spPr>
            <a:solidFill>
              <a:schemeClr val="accent4"/>
            </a:solidFill>
            <a:ln>
              <a:noFill/>
            </a:ln>
            <a:effectLst/>
          </c:spPr>
          <c:invertIfNegative val="0"/>
          <c:cat>
            <c:strRef>
              <c:f>'4_pivot'!$A$5:$A$25</c:f>
              <c:strCache>
                <c:ptCount val="20"/>
                <c:pt idx="0">
                  <c:v>Jewelry</c:v>
                </c:pt>
                <c:pt idx="1">
                  <c:v>Baseball Caps</c:v>
                </c:pt>
                <c:pt idx="2">
                  <c:v>Tote Bags</c:v>
                </c:pt>
                <c:pt idx="3">
                  <c:v>Sunglasses</c:v>
                </c:pt>
                <c:pt idx="4">
                  <c:v>Pajama Sets</c:v>
                </c:pt>
                <c:pt idx="5">
                  <c:v>Workout Tops</c:v>
                </c:pt>
                <c:pt idx="6">
                  <c:v>Crop Tops</c:v>
                </c:pt>
                <c:pt idx="7">
                  <c:v>Maxi Dresses</c:v>
                </c:pt>
                <c:pt idx="8">
                  <c:v>Leggings</c:v>
                </c:pt>
                <c:pt idx="9">
                  <c:v>Casual Dresses</c:v>
                </c:pt>
                <c:pt idx="10">
                  <c:v>Hoodies &amp; Sweatshirts</c:v>
                </c:pt>
                <c:pt idx="11">
                  <c:v>Sandals</c:v>
                </c:pt>
                <c:pt idx="12">
                  <c:v>Shorts</c:v>
                </c:pt>
                <c:pt idx="13">
                  <c:v>Graphic Tees</c:v>
                </c:pt>
                <c:pt idx="14">
                  <c:v>Sundresses</c:v>
                </c:pt>
                <c:pt idx="15">
                  <c:v>Bikinis</c:v>
                </c:pt>
                <c:pt idx="16">
                  <c:v>Tank Tops</c:v>
                </c:pt>
                <c:pt idx="17">
                  <c:v>Sneakers</c:v>
                </c:pt>
                <c:pt idx="18">
                  <c:v>Jeans</c:v>
                </c:pt>
                <c:pt idx="19">
                  <c:v>T-Shirts</c:v>
                </c:pt>
              </c:strCache>
            </c:strRef>
          </c:cat>
          <c:val>
            <c:numRef>
              <c:f>'4_pivot'!$E$5:$E$25</c:f>
              <c:numCache>
                <c:formatCode>General</c:formatCode>
                <c:ptCount val="20"/>
                <c:pt idx="1">
                  <c:v>6</c:v>
                </c:pt>
                <c:pt idx="2">
                  <c:v>6</c:v>
                </c:pt>
                <c:pt idx="3">
                  <c:v>24</c:v>
                </c:pt>
                <c:pt idx="4">
                  <c:v>12</c:v>
                </c:pt>
                <c:pt idx="5">
                  <c:v>28</c:v>
                </c:pt>
                <c:pt idx="6">
                  <c:v>8</c:v>
                </c:pt>
                <c:pt idx="8">
                  <c:v>31</c:v>
                </c:pt>
                <c:pt idx="9">
                  <c:v>24</c:v>
                </c:pt>
                <c:pt idx="10">
                  <c:v>9</c:v>
                </c:pt>
                <c:pt idx="11">
                  <c:v>23</c:v>
                </c:pt>
                <c:pt idx="12">
                  <c:v>24</c:v>
                </c:pt>
                <c:pt idx="13">
                  <c:v>15</c:v>
                </c:pt>
                <c:pt idx="14">
                  <c:v>39</c:v>
                </c:pt>
                <c:pt idx="15">
                  <c:v>22</c:v>
                </c:pt>
                <c:pt idx="16">
                  <c:v>16</c:v>
                </c:pt>
                <c:pt idx="17">
                  <c:v>137</c:v>
                </c:pt>
                <c:pt idx="18">
                  <c:v>214</c:v>
                </c:pt>
                <c:pt idx="19">
                  <c:v>98</c:v>
                </c:pt>
              </c:numCache>
            </c:numRef>
          </c:val>
          <c:extLst>
            <c:ext xmlns:c16="http://schemas.microsoft.com/office/drawing/2014/chart" uri="{C3380CC4-5D6E-409C-BE32-E72D297353CC}">
              <c16:uniqueId val="{00000007-1ABE-48B7-A944-D13005E8DED5}"/>
            </c:ext>
          </c:extLst>
        </c:ser>
        <c:dLbls>
          <c:showLegendKey val="0"/>
          <c:showVal val="0"/>
          <c:showCatName val="0"/>
          <c:showSerName val="0"/>
          <c:showPercent val="0"/>
          <c:showBubbleSize val="0"/>
        </c:dLbls>
        <c:gapWidth val="10"/>
        <c:overlap val="100"/>
        <c:axId val="1329284175"/>
        <c:axId val="1972188767"/>
      </c:barChart>
      <c:catAx>
        <c:axId val="13292841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188767"/>
        <c:crosses val="autoZero"/>
        <c:auto val="1"/>
        <c:lblAlgn val="ctr"/>
        <c:lblOffset val="100"/>
        <c:noMultiLvlLbl val="0"/>
      </c:catAx>
      <c:valAx>
        <c:axId val="1972188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284175"/>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[ecommerce-sales-logistics-dashboard.xlsx]4_pivot!pvt_qtybygender</c:name>
    <c:fmtId val="33"/>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layout>
            <c:manualLayout>
              <c:x val="-7.10375207026296E-2"/>
              <c:y val="5.3333310936141904E-3"/>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5898873681064699"/>
              <c:y val="-7.999996640421358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dLbl>
          <c:idx val="0"/>
          <c:layout>
            <c:manualLayout>
              <c:x val="-7.10375207026296E-2"/>
              <c:y val="5.3333310936141904E-3"/>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0.15898873681064699"/>
              <c:y val="-7.9999966404213585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ln>
            <a:noFill/>
          </a:ln>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356602059357964"/>
          <c:y val="0.16826864289022694"/>
          <c:w val="0.66645820714718351"/>
          <c:h val="0.84014125507038895"/>
        </c:manualLayout>
      </c:layout>
      <c:doughnutChart>
        <c:varyColors val="1"/>
        <c:ser>
          <c:idx val="0"/>
          <c:order val="0"/>
          <c:tx>
            <c:strRef>
              <c:f>'4_pivot'!$I$3</c:f>
              <c:strCache>
                <c:ptCount val="1"/>
                <c:pt idx="0">
                  <c:v>Total</c:v>
                </c:pt>
              </c:strCache>
            </c:strRef>
          </c:tx>
          <c:spPr>
            <a:ln>
              <a:noFill/>
            </a:ln>
          </c:spPr>
          <c:explosion val="4"/>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456-4D82-935C-BE5EF64F1F8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456-4D82-935C-BE5EF64F1F8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456-4D82-935C-BE5EF64F1F8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456-4D82-935C-BE5EF64F1F85}"/>
              </c:ext>
            </c:extLst>
          </c:dPt>
          <c:cat>
            <c:strRef>
              <c:f>'4_pivot'!$H$4:$H$8</c:f>
              <c:strCache>
                <c:ptCount val="4"/>
                <c:pt idx="0">
                  <c:v>Female</c:v>
                </c:pt>
                <c:pt idx="1">
                  <c:v>Male</c:v>
                </c:pt>
                <c:pt idx="2">
                  <c:v>Other</c:v>
                </c:pt>
                <c:pt idx="3">
                  <c:v>Unknown</c:v>
                </c:pt>
              </c:strCache>
            </c:strRef>
          </c:cat>
          <c:val>
            <c:numRef>
              <c:f>'4_pivot'!$I$4:$I$8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456-4D82-935C-BE5EF64F1F8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[ecommerce-sales-logistics-dashboard.xlsx]6_pivot!pvt_duration</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'6_pivot'!$B$3</c:f>
              <c:strCache>
                <c:ptCount val="1"/>
                <c:pt idx="0">
                  <c:v>Total</c:v>
                </c:pt>
              </c:strCache>
            </c:strRef>
          </c:tx>
          <c:spPr>
            <a:solidFill>
              <a:schemeClr val="accent1"/>
            </a:solidFill>
            <a:ln w="12700">
              <a:solidFill>
                <a:schemeClr val="bg1"/>
              </a:solidFill>
            </a:ln>
            <a:effectLst/>
          </c:spPr>
          <c:invertIfNegative val="0"/>
          <c:cat>
            <c:strRef>
              <c:f>'6_pivot'!$A$4:$A$19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'6_pivot'!$B$4:$B$19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232-4307-AC98-C28717871873}"/>
            </c:ext>
          </c:extLst>
        </c:ser>
        <c:dLbls>
          <c:showLegendKey val="0"/>
          <c:showVal val="0"/>
          <c:showCatName val="0"/>
          <c:showSerName val="0"/>
          <c:showPercent val="0"/>
          <c:showBubbleSize val="0"/>
        </c:dLbls>
        <c:gapWidth val="0"/>
        <c:overlap val="-27"/>
        <c:axId val="2045071919"/>
        <c:axId val="2082480255"/>
      </c:barChart>
      <c:catAx>
        <c:axId val="204507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0255"/>
        <c:crosses val="autoZero"/>
        <c:auto val="1"/>
        <c:lblAlgn val="ctr"/>
        <c:lblOffset val="100"/>
        <c:noMultiLvlLbl val="0"/>
      </c:catAx>
      <c:valAx>
        <c:axId val="208248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07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[ecommerce-sales-logistics-dashboard.xlsx]6_pivot!pvt_satisfaction</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solidFill>
                  <a:sysClr val="windowText" lastClr="000000"/>
                </a:solidFill>
              </a:rPr>
              <a:t>How satisfied</a:t>
            </a:r>
            <a:r>
              <a:rPr lang="en-IN" baseline="0">
                <a:solidFill>
                  <a:sysClr val="windowText" lastClr="000000"/>
                </a:solidFill>
              </a:rPr>
              <a:t> are our customers?</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'6_pivot'!$B$25:$B$26</c:f>
              <c:strCache>
                <c:ptCount val="1"/>
                <c:pt idx="0">
                  <c:v>1</c:v>
                </c:pt>
              </c:strCache>
            </c:strRef>
          </c:tx>
          <c:spPr>
            <a:solidFill>
              <a:schemeClr val="accent1"/>
            </a:solidFill>
            <a:ln>
              <a:noFill/>
            </a:ln>
            <a:effectLst/>
          </c:spPr>
          <c:invertIfNegative val="0"/>
          <c:cat>
            <c:strRef>
              <c:f>'6_pivot'!$A$27:$A$30</c:f>
              <c:strCache>
                <c:ptCount val="3"/>
                <c:pt idx="0">
                  <c:v>Jan</c:v>
                </c:pt>
                <c:pt idx="1">
                  <c:v>Feb</c:v>
                </c:pt>
                <c:pt idx="2">
                  <c:v>Mar</c:v>
                </c:pt>
              </c:strCache>
            </c:strRef>
          </c:cat>
          <c:val>
            <c:numRef>
              <c:f>'6_pivot'!$B$27:$B$30</c:f>
              <c:numCache>
                <c:formatCode>General</c:formatCode>
                <c:ptCount val="3"/>
                <c:pt idx="0">
                  <c:v>7</c:v>
                </c:pt>
                <c:pt idx="1">
                  <c:v>8</c:v>
                </c:pt>
                <c:pt idx="2">
                  <c:v>6</c:v>
                </c:pt>
              </c:numCache>
            </c:numRef>
          </c:val>
          <c:extLst>
            <c:ext xmlns:c16="http://schemas.microsoft.com/office/drawing/2014/chart" uri="{C3380CC4-5D6E-409C-BE32-E72D297353CC}">
              <c16:uniqueId val="{00000000-573C-4D98-9D1A-A4DD111F84F2}"/>
            </c:ext>
          </c:extLst>
        </c:ser>
        <c:ser>
          <c:idx val="1"/>
          <c:order val="1"/>
          <c:tx>
            <c:strRef>
              <c:f>'6_pivot'!$C$25:$C$26</c:f>
              <c:strCache>
                <c:ptCount val="1"/>
                <c:pt idx="0">
                  <c:v>2</c:v>
                </c:pt>
              </c:strCache>
            </c:strRef>
          </c:tx>
          <c:spPr>
            <a:solidFill>
              <a:schemeClr val="accent2"/>
            </a:solidFill>
            <a:ln>
              <a:noFill/>
            </a:ln>
            <a:effectLst/>
          </c:spPr>
          <c:invertIfNegative val="0"/>
          <c:cat>
            <c:strRef>
              <c:f>'6_pivot'!$A$27:$A$30</c:f>
              <c:strCache>
                <c:ptCount val="3"/>
                <c:pt idx="0">
                  <c:v>Jan</c:v>
                </c:pt>
                <c:pt idx="1">
                  <c:v>Feb</c:v>
                </c:pt>
                <c:pt idx="2">
                  <c:v>Mar</c:v>
                </c:pt>
              </c:strCache>
            </c:strRef>
          </c:cat>
          <c:val>
            <c:numRef>
              <c:f>'6_pivot'!$C$27:$C$30</c:f>
              <c:numCache>
                <c:formatCode>General</c:formatCode>
                <c:ptCount val="3"/>
                <c:pt idx="0">
                  <c:v>37</c:v>
                </c:pt>
                <c:pt idx="1">
                  <c:v>51</c:v>
                </c:pt>
                <c:pt idx="2">
                  <c:v>39</c:v>
                </c:pt>
              </c:numCache>
            </c:numRef>
          </c:val>
          <c:extLst>
            <c:ext xmlns:c16="http://schemas.microsoft.com/office/drawing/2014/chart" uri="{C3380CC4-5D6E-409C-BE32-E72D297353CC}">
              <c16:uniqueId val="{00000004-573C-4D98-9D1A-A4DD111F84F2}"/>
            </c:ext>
          </c:extLst>
        </c:ser>
        <c:ser>
          <c:idx val="2"/>
          <c:order val="2"/>
          <c:tx>
            <c:strRef>
              <c:f>'6_pivot'!$D$25:$D$26</c:f>
              <c:strCache>
                <c:ptCount val="1"/>
                <c:pt idx="0">
                  <c:v>3</c:v>
                </c:pt>
              </c:strCache>
            </c:strRef>
          </c:tx>
          <c:spPr>
            <a:solidFill>
              <a:schemeClr val="accent3"/>
            </a:solidFill>
            <a:ln>
              <a:noFill/>
            </a:ln>
            <a:effectLst/>
          </c:spPr>
          <c:invertIfNegative val="0"/>
          <c:cat>
            <c:strRef>
              <c:f>'6_pivot'!$A$27:$A$30</c:f>
              <c:strCache>
                <c:ptCount val="3"/>
                <c:pt idx="0">
                  <c:v>Jan</c:v>
                </c:pt>
                <c:pt idx="1">
                  <c:v>Feb</c:v>
                </c:pt>
                <c:pt idx="2">
                  <c:v>Mar</c:v>
                </c:pt>
              </c:strCache>
            </c:strRef>
          </c:cat>
          <c:val>
            <c:numRef>
              <c:f>'6_pivot'!$D$27:$D$30</c:f>
              <c:numCache>
                <c:formatCode>General</c:formatCode>
                <c:ptCount val="3"/>
                <c:pt idx="0">
                  <c:v>150</c:v>
                </c:pt>
                <c:pt idx="1">
                  <c:v>182</c:v>
                </c:pt>
                <c:pt idx="2">
                  <c:v>163</c:v>
                </c:pt>
              </c:numCache>
            </c:numRef>
          </c:val>
          <c:extLst>
            <c:ext xmlns:c16="http://schemas.microsoft.com/office/drawing/2014/chart" uri="{C3380CC4-5D6E-409C-BE32-E72D297353CC}">
              <c16:uniqueId val="{00000005-573C-4D98-9D1A-A4DD111F84F2}"/>
            </c:ext>
          </c:extLst>
        </c:ser>
        <c:ser>
          <c:idx val="3"/>
          <c:order val="3"/>
          <c:tx>
            <c:strRef>
              <c:f>'6_pivot'!$E$25:$E$26</c:f>
              <c:strCache>
                <c:ptCount val="1"/>
                <c:pt idx="0">
                  <c:v>4</c:v>
                </c:pt>
              </c:strCache>
            </c:strRef>
          </c:tx>
          <c:spPr>
            <a:solidFill>
              <a:schemeClr val="accent4"/>
            </a:solidFill>
            <a:ln>
              <a:noFill/>
            </a:ln>
            <a:effectLst/>
          </c:spPr>
          <c:invertIfNegative val="0"/>
          <c:cat>
            <c:strRef>
              <c:f>'6_pivot'!$A$27:$A$30</c:f>
              <c:strCache>
                <c:ptCount val="3"/>
                <c:pt idx="0">
                  <c:v>Jan</c:v>
                </c:pt>
                <c:pt idx="1">
                  <c:v>Feb</c:v>
                </c:pt>
                <c:pt idx="2">
                  <c:v>Mar</c:v>
                </c:pt>
              </c:strCache>
            </c:strRef>
          </c:cat>
          <c:val>
            <c:numRef>
              <c:f>'6_pivot'!$E$27:$E$30</c:f>
              <c:numCache>
                <c:formatCode>General</c:formatCode>
                <c:ptCount val="3"/>
                <c:pt idx="0">
                  <c:v>312</c:v>
                </c:pt>
                <c:pt idx="1">
                  <c:v>373</c:v>
                </c:pt>
                <c:pt idx="2">
                  <c:v>351</c:v>
                </c:pt>
              </c:numCache>
            </c:numRef>
          </c:val>
          <c:extLst>
            <c:ext xmlns:c16="http://schemas.microsoft.com/office/drawing/2014/chart" uri="{C3380CC4-5D6E-409C-BE32-E72D297353CC}">
              <c16:uniqueId val="{00000006-573C-4D98-9D1A-A4DD111F84F2}"/>
            </c:ext>
          </c:extLst>
        </c:ser>
        <c:ser>
          <c:idx val="4"/>
          <c:order val="4"/>
          <c:tx>
            <c:strRef>
              <c:f>'6_pivot'!$F$25:$F$26</c:f>
              <c:strCache>
                <c:ptCount val="1"/>
                <c:pt idx="0">
                  <c:v>5</c:v>
                </c:pt>
              </c:strCache>
            </c:strRef>
          </c:tx>
          <c:spPr>
            <a:solidFill>
              <a:schemeClr val="accent5"/>
            </a:solidFill>
            <a:ln>
              <a:noFill/>
            </a:ln>
            <a:effectLst/>
          </c:spPr>
          <c:invertIfNegative val="0"/>
          <c:cat>
            <c:strRef>
              <c:f>'6_pivot'!$A$27:$A$30</c:f>
              <c:strCache>
                <c:ptCount val="3"/>
                <c:pt idx="0">
                  <c:v>Jan</c:v>
                </c:pt>
                <c:pt idx="1">
                  <c:v>Feb</c:v>
                </c:pt>
                <c:pt idx="2">
                  <c:v>Mar</c:v>
                </c:pt>
              </c:strCache>
            </c:strRef>
          </c:cat>
          <c:val>
            <c:numRef>
              <c:f>'6_pivot'!$F$27:$F$30</c:f>
              <c:numCache>
                <c:formatCode>General</c:formatCode>
                <c:ptCount val="3"/>
                <c:pt idx="0">
                  <c:v>224</c:v>
                </c:pt>
                <c:pt idx="1">
                  <c:v>247</c:v>
                </c:pt>
                <c:pt idx="2">
                  <c:v>250</c:v>
                </c:pt>
              </c:numCache>
            </c:numRef>
          </c:val>
          <c:extLst>
            <c:ext xmlns:c16="http://schemas.microsoft.com/office/drawing/2014/chart" uri="{C3380CC4-5D6E-409C-BE32-E72D297353CC}">
              <c16:uniqueId val="{00000004-2984-4017-9447-F1DE470A993A}"/>
            </c:ext>
          </c:extLst>
        </c:ser>
        <c:dLbls>
          <c:showLegendKey val="0"/>
          <c:showVal val="0"/>
          <c:showCatName val="0"/>
          <c:showSerName val="0"/>
          <c:showPercent val="0"/>
          <c:showBubbleSize val="0"/>
        </c:dLbls>
        <c:gapWidth val="219"/>
        <c:overlap val="-27"/>
        <c:axId val="53029439"/>
        <c:axId val="1340932255"/>
      </c:barChart>
      <c:catAx>
        <c:axId val="530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32255"/>
        <c:crosses val="autoZero"/>
        <c:auto val="1"/>
        <c:lblAlgn val="ctr"/>
        <c:lblOffset val="100"/>
        <c:noMultiLvlLbl val="0"/>
      </c:catAx>
      <c:valAx>
        <c:axId val="13409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solidFill>
                <a:sysClr val="windowText" lastClr="000000"/>
              </a:solidFill>
            </a:defRPr>
          </a:pPr>
          <a:r>
            <a:rPr lang="en-US" sz="1400" b="0" i="0" u="none" strike="noStrike" baseline="0">
              <a:solidFill>
                <a:sysClr val="windowText" lastClr="000000"/>
              </a:solidFill>
              <a:latin typeface="Aptos Narrow" panose="02110004020202020204"/>
            </a:rPr>
            <a:t>Where do our Customers live?</a:t>
          </a:r>
        </a:p>
      </cx:txPr>
    </cx:title>
    <cx:plotArea>
      <cx:plotAreaRegion>
        <cx:series layoutId="regionMap" uniqueId="{00000000-7A30-45FB-B34E-D6F2871FA444}">
          <cx:tx>
            <cx:txData>
              <cx:f>_xlchart.v5.2</cx:f>
              <cx:v>Qty</cx:v>
            </cx:txData>
          </cx:tx>
          <cx:spPr>
            <a:ln>
              <a:solidFill>
                <a:sysClr val="windowText" lastClr="000000">
                  <a:lumMod val="25000"/>
                  <a:lumOff val="75000"/>
                </a:sysClr>
              </a:solidFill>
            </a:ln>
          </cx:spPr>
          <cx:dataId val="0"/>
          <cx:layoutPr>
            <cx:geography cultureLanguage="en-US" cultureRegion="IN" attribution="Powered by Bing">
              <cx:geoCache provider="{E9337A44-BEBE-4D9F-B70C-5C5E7DAFC167}">
                <cx:binary>7H1rb9w4svZfCfL5yENSF0qLnQWG6qtvsWMnmcwXoWM7om6kJFLXX/+WbCfjVrezMjANvKdxemax
k6iLXdIjFqueKhb/fdf+6y592JTv2iwV6l937e/vudb5v377Td3xh2yjTrLorpRKftcndzL7TX7/
Ht09/HZfbppIhL8RhK3f7vim1A/t+//8G0YLH+S5vNvoSIrr6qHsPj6oKtXqF9f2Xnq3uc8iMYuU
LqM7jX9/72/S6LssRbR5v32NwDWZVmrzzpeV0N37dw9CR7q77fKH399vDUPev/tt/Gs7mr1LQXld
3YOw6Z0Q5BHTwTZ6/MAAqRTh82UDE3KCkGs6nmX/+NnLTQaS0zV61Gdzf18+KAU39vj/O/JbdwFX
//ivz+BueBbD0w8BiN/ffxKRfrh/d6M3+kG9fxcp+fiwys6Xw41+unl8Mr9t4/eff4/+Ap7V6G9e
QDx+sP/t0jaK/wXhC3kv7/55gC18YnnIsz3seI8fZwwwOrEtYlseNrcBnqzQfny3xSfAuy1wZOj+
kcKkuT/EBKYnLrJc4jrmE750jC85IZRY1IGZ/WQ2nubvGzTaD/B4gAkQj0WODGRfgkEaMFb6EEi7
Jwi7nmea9AlpdxdpbFquTTFceQn1W/Xaj/feUSaAvlfuyJD/Wn07BOLeCbawbWOPvrI44xPbpY5r
OSPbPVWf/UhvSU9AeOv7R4YsOGWb+qHcqH9+aTbdE+w5BBP6GrzoxHEH78yCRXtrQr9Fqf0Y797X
BKB3hY4M7T/SPBIPB4Ha8UwbvGxrv+3G3gmFj21Taxvq6Rrtx3kkPwHkkcSRIXyzuSvBFRNaHgRl
mwLOFkzax8+OLzY448M/pvVo0PE21m/TbT/ee8aYgPkeqSPD/Y9scy/Lg2BugnONiAsTdztyRjCl
CfFM5O0De7pC+4EeyU8AeSRxZADfbMQ79lCKTXkfiUNMbusEAxGCXdN8csbA5drCG9MT4lnIo954
Vr9Vsf2Av3KDE4B/RfLIXgBWaX2Ipds7sTG4YOi1pZuAE25bDsZkZM4nK7Qf723xCTBvCxwZuh/K
jQgPAa95Qj1sua7zmmcGBIsNNtxBI3ina7Qf35H8BIBHEkeG8OwhfXcpgWb/5xdpIEGpbcFqPPAn
w2fHMbOABrdMIMlGLNmblNqP8+4QE6DeFToytC/kQRZp94RADOU6zzjvAA1xFiGuC4TKaJWeqs9+
jLekJ8C79f0jQ3aevpvJErztf34eA2NCiefY5Jnr9gDELR+MgM/tDebcdvb53G9SbT/Su0NMgHtX
6MgwX0Bu7yDz2TmhJnaAAsVPhnsM+MCbuDb8g0fpyeka7cd5JD8B5JHEkSE8xBCz6CE8xKwmJxTb
1PbIOKMBIRV2TBdiLvsJ/t3IarJO+2Heva0JSO8KHRnYV2kFdREHsN/eiWc6FOz383Te8cPQiWe5
kK02R9N5ukb7cR7JTwB5JHFkCC/TByEOArBNECSsyE6ZAYFkh4upaY887Mma7Ad2W3wCrtsCRwbr
qsq+yfRe//PIWuBZuQ62rF1kgRhzsImgBmGfkX6LSvsh3hlhAso7MkcG9LlU7/4AQiR9OISZtk6Q
TYjpWs/L7s66DGGWZQLvjZ8ylyNm5I3K7Ud93yATgN8ndmTYr7P8oYw26T8/yU3wxMALsy0Tv8Jx
2yc2eOM2hozH8BkB/xbN9qO+M8IEyHdkjg1v0R3C63agcIzAak2fic+d0GooT/Acx3VH5UTrifq8
gvBL6Snovvz+kSF7Ez2UjwVj1T9e1QsEiAkr8lOeGY1zVcCTwEUEPNlT2e9oHk/Xaz/GI/kJKI8k
jgznM8hLHsBa2ycmfUxMPRnjwRpvsWFAjgwVg9gkEGe9rB+aqs9+dLekJ2C79f0jQxbKzUWk0k11
CDeMnjgWgojJec4479TmY6jNHxwxOrLQb9NqP8p7xpiA9R6pI0P8DDaFHAJs5wSmKRRq//C5d5Zj
D94GKOMneDyZpyq0H+ft+5kA8bbAkaF7vkkOkH+EXTaQXYRgCYqBHj87M5mceNjGDhTzblvqqfrs
x3ZLegK0W98/MmSBtB2q8suqP8BK7Jx41MIW+rHJZhwwD7uoIO2IoIxgG9+3abUf5T1jTMB6j9SR
IX6+UerhAH4XUGFQlQ80NXmazPu8awcuW64zMtXTNdqP9Eh+AsojiSNDGNLo+qF86A4yox3qUGqi
59r8nQgKnzi2Axsvxvuq3qLTfpR3RpiA847MsSG9uYdNGAfBGbZgQFKCPu9/HcdQECkjByq6LQwO
2csY6mKyRq+gvC0/BeNtiaNDuIwOYKxNOizNkF1GzzUje5ZmG6p6HeqNgqiLzUSFXsP3pfgkeF8K
HCG6uTzIDnZ6ArMT5q/7vByPZzCwIJ5jUZeA+/34Gc/jMpqq2etIb40wEewtmWPD+0HAdvbDFOIP
uyIBSEqfkxRjwIkJxZzUMc2h+m/LZL9FqVew3hliCtg7QkeHdnkHvRf8f7w7BT0xkeM5P+s5d4w3
uOIubI/FdO+GqouHqXq9hvaW/CSotySODOfLTX4IHwyyyR4wX0BtPQVUO742tDCAcAqBid+e0FP1
2Y/ulvQEbLe+f2TIfpXpIXKM7gnEULDhEUE511ZqAjbNwAWKoXJkG9KpiuyHdEt6AqRb3z8ySC8f
6s1BOo5ACb1DqGui55BpZ7pCWgJDvyBrTHZN12g/uiP5CfiOJI4M4at0c/dwmD2tsENiKKN/2rm6
S3ABwnQoEiFPHvUoNJ6u136cR/ITcB5JHBnON5FKok5W/7yDNWyMMjGsqz+6B42zTkBcO5CAtIED
2bbTb9FpP8o7I0zAeUfmyJD+GEGvERXdHyIHZZ54LrJN87lYYLdaAJxt6EQC+cXRdH6TUvux3h1i
Ati7QkeGNqRgYMs69K07hOsF5V02GXYuP9dw7sxs6EWBCIKS3t2U1Bu02o/3njubAPgeqSNEfAE7
me8idSd/GNR/oo0jhepshCjU6v1ckbf9bXJiQSdL2zVHk3t45j81mrLAvA747jATMd8VPELYT+Wm
qA7FcAO/bREA+PGzxx8nHhSWeN7+Yj94A96g3Ov4jweZiP5Y7AixP68i9e7Dt0jlh7D0NrAjxIGI
CyzA8NnhQ6GNGCz60KBiz9x/o2qvo79voIlvwD7RI3wLLqAz7SHwf0yAUAp75p5sP7DeY9sPe96B
M7dGXMtg+ycr9Try20NMxHxb6MjQvq3STXkIHx6KBE2Ewc4/B+bjqT60N/DACcD2KFybrtF+nEfy
E0AeSRwZwjB1oJqMbcpvm4OUJViDuzYkpV/f9+54rmlh6Mz9+PnhTD41932zevtR3z/MBPD3Cx7l
O+DDVD9EUgSicdhgBwWjzx79TuoLnwwTHWjW0Vbpp2c/Wa1fIb89yGTct8WODfWhzdghSFdIa5uE
QDvY5ym/B3AHAnrw48cB+2SNXsF6W34KzNsSx4Yw36hDNPCGulFo7wr9LMzX+v2SE2h2gVzw5kfm
fLJGryC8LT8F4W2JY0NYppuDtKsZ2k9B2mSoG90fikEduOXBprsd0m2yRq8gvC0/BeFtiaNDWMjs
EMuye2KZngPlCq/VBT82s3EsqEkbzWFoeDZNo9cQ3pKfhPCWxJEhfPvAN9Oe59tOxAErDbvbHWiA
8IrrDSkxaAcKtPkQh8FnFFRP12s/ziP5CTiPJI4NZ6iKhbOOplDTbwaawpY7oE6fQ6g9vMlQuQIh
1hji6Sq9gvFogCkgj0SODeUKDrjKDtJ6HwrAXWjMDH7z43TdR4/CTnmMXbLDmUzX6RWcx3c1Beix
zJEh/RkqcquDRMzQwxVaGpjotfNxHskxKFpx0KjS/w0q7cd5PMAEmMci/wtQ/rWKW/c8nHX2xw//
Z09+862n1EFrdWix7QAbtn8OA7QOBp8MjsvZR4e9PFnvqSB8n077sX0pu3WPT7f464dymFPoXj+h
7udRf7ON3swfDwl8cUjdr68+3j6cbTgSfa6g3/PAfhbjru9/fw+lu6aNhvbJP88fHAYa1d8PxdE/
XottqQeIuX9/D+cNwn6roYWcbdpAbzkUBmweni9h6Do19Om2oeAbqFFYrwX0i+ZwiiF0SjDhHB2g
yoYduOC5vX+nZPV4CTqIWoNJMIFOgybenvXzEMcrmXahFD+fyvOf34kqu5KR0Or392SIxPOn7w36
2lCDPBylZmEX9gsR2JCP4Prd5uOwBx8ewv+YBmmwLpLkA0aWLk89HeXIj+rMMr64MqHNPHPKrPOr
Ii6uMU1mFcnWfZmt2vUaBfFSCMl4Q1is3c+8a3OWR/UtnOpVnqE2lfzPIIxb5miRsA4yvn6mgg9d
ksQzO870Kid26kdN9lEm3YfWSGsGccomoMT27TI5y1F/JZyWMxqUn1tDLHNb9ovKbT/3qLl3cvox
NyUMYPb5KmztRV25cmUp71qH8fdalmSexZnDNFjQed7o5FMQZleGZfa+Rp32kxZ/cGVw3WSxYE5X
oFXo9AFrS3dVOzlhWdKsAod8tfK2ZY3sqnkd96kvZVHPPduKV7mZpXOvpK5vy8CZZwX/s0oKPRN2
nizDJEhYnyO8MLlIWWWYRswaR/MVV0GIWJFDb0FGqNGxNjXSFeconydWbC8VxukZKkT4kWrafnHq
MmSSZj1TbWR/iFxC/BBH+LLrrNOitcgVF1LOhOoK5hRUL8soVgsuM8xZncFPk9j9EniFXgli9rOO
lzXratwy3SaBOo1xKa6DSptnbl5aPcu8ToWggyiiU4saDl57iTKSBWkSVnc0wd9wYVqzqjIYLeL4
gtcVqwI3nukkY1zgmFlhv0B2dm3FXtn4bSdbZpbJQyqrL4VKziVC4SyjzTLVSeLDCUIXpWdcKIPA
i5RFMztPP7ZcnOak/EqM5DxuIskKkt2aIW/mmrt3Vl5ckZBeiqyttM81Ta7suIvI3DRrM77MbB73
F3A8qGAoaeZJHju+adXBOun4usqCmLWBFKx1iDvP+vCub5uIBUhKlntBtpBZmTPbE9y3SvvORlHJ
bAslfku0mpm8nVdYz2jWfQpb3c46LexZVNex33W5yYLAutROk82gcE2ujDCLGHLDeRvBN2MYl2Nv
Truc+wmyBUttL/Hd3qqXHY/qGWrRJbUbNE9KO2JdnqhThPSZE7W1r+2UzKNUGQxl5C+nxQkLOnnT
0DZiXtd4fiAUZUXCmRe5NvOAtGGK0ocsCO9T6aY+zC5fx51msRFfVbZo4B0gc4wq6leqy+YSlzET
svEWLrz6cIRsOBOo1OEssHUYMSOUfcOimMrkVCgtb18eTrpll+5k3pVRyJ/Pl/35x//cygz+fTyt
9O+/HI6n/ftPywc5pIPU+EvD+vHzW3+feDrY65/Hn45Wgaczbl9ZIn558fX14+VCYEPu+ldLx8tV
+GkFfzTHj1I/lg4MjSiHnoUIuvjb0BMaBvy5dEA+bShXh346LngRQyL8eemwgJHDQ8N4NLgOcEAA
+IY/lg5yAuWSYO/BqwTOFhopvWXpwPAb2yuHB4wBtPhwgBw0oVoH0jYvVw7dmzIvqqq9FI3pzesm
4DmTZkwTH5aN+tox7O40bmuRzBFK9FctrfpTYqm2YMoTxZcXT2/PQjY0jRlrA2fVQMcZWB3h+NAh
xH2pjSVgwni8qi9JIfBlmPQiYBWVDvfbWkuP1Y1VfaV1bkSszFxd+EVcJiELekUtH6rHxb2nNfoA
Y/BqRtIUf+ptw8XLzrGDB9wZuF38WmMC/NmOxrAnH9oueDaFbqOjldeKKAdsO31ptnYYzpy2Tz/V
QLaaC007aYO1bXE8i2jgsp46HZiEBJnLrC47PCtrqe95qxT2IyO3ZwoOd66ZzjiqGS3tJJyHMuZX
SeWdZsrjagbsn/dZ8eIsSRu7nUfKcC6iktfZ8td3tQsD1NEjaLoITgW0un686RfuBO2MsDHyVF0K
HXifZehiwqyEwKuRi6q9atrSu8kDnP75658d3rWXXgxsmINTQqkJZwvCvmhiDmq9+FkbtaGVq1Bc
CrfHlzjh1aVQpR+5Af/861+C6bPzSx7UmVLw3GCjnjt6z3JhdX1Rcnnp5sjaFI0s02Wg3Y6wJOdz
VFRp75uoc6Ufm3aT/beXZngptm8UXhTocmjBGYrQpHb880DURzwUWXRJi8TeZHFlb5J00MHuMzV3
SljGOgTQL5u0ALesSCR90Kmn1o3XWeetY5bIN5tYJn5MRfbJLHNizrjbdQ+5UeczZPQZ9W1PWuXK
Np2+Yr9+ekMX+7H+dDAbkOaHM3xhK9U2UMiBtce2A+MCV0G2iUqtQoaNRAuLmV0nwtOGR8m30PXy
87Yv+MKRVhv5BNf0u6Z9L/2Oh9S3ZFw/RKVJ72s75/T010pa9g7IpmXCSzTwaFBmZFMgUl6+Tk7p
Rqjk2ryIrSIPPHemPd4vYcE3vYWuq8ov2wJd11lnV4xzTv0Si6UiZb5MrZz4SVpkH/PUzlpG0yb8
0sSZXHdKa5bbRf7JUYk7CwoR+JWM44hF2owbFsRKXDa5oT4URm/OwxB7MTP6QGQ+qXm2sh2dfiRx
eBV2wmxZWtHiUgfFrSaZYc6cmsCDjDoCtsGq+p6hxo3PU267XwNUWafccfF5H7a15zeIWxmcht5F
a8Mtu4w1ndvPcGMbsz5u73JV6JsKGZSzJtN0EaiiWlsBIbcFx02yDKiBI9bzJPgGyX5wJiNRGH9V
Gc1mea7IOpEiX+PCS++jOndg3ptZchN5QUtZXVjhaRmUld/Bc1hii3gfiiZr51ZTFguMW1zPUzgO
OPTrJnQLvyY8mGfKLGdV7n3ggRGiGcZSr2CpIY0vUOwwV9P0zzZD/IyUXn5jm9peVl5skIVysn7j
OrKcK9TG/aJO3HBhtC3aEJU231WY57bfE40qJkJSh4tWxxImR9PMuxBiiUUpAz5LtZmtBHyVwab8
UsKDzmrKYhXHhk+DhjIq7bZnlk4D39SGyJalk8xDq+rQdWNiaxapEqUshjdJL0zdeGrZmrQ9d5K+
T4Prqil0lrEuSjtR3vOAE9J/VY3R0gx8uRJMubwjXRZrs4TjsqoqR5c60VnSnnpR0S9rr9LBOiuj
KGcxSeUNooa5jjvTrCBk89KAQVzjtQBX5rozEQSwHuo0aYq5kzQh8stU4+ADL5BD5SrpaMNnXZt6
+txR2oQ3qgkkVo1fwVq4cAweBx9qmDpO6Bdu7sILZyYqW4g0Kj2WFrB4BfO2jhzfCID5sFkXIGHB
6dJBlvncq5pg0aQ0zeYqAK9gYYsw68H/tcFiCpJYlZ/x0khZrbpQXanIyMAtDSP3u1HVNEIzJIle
RpZbuZe2EYTBqTAhQLJjX7Sq6LuVgj0/JZ/nIafZPFB1Xyy8Uolo0aVO1q2QUlnu26RLI5+2dpdC
oFREhg+wki9GnvV4BntNkmwG/0PGhzRGhoJHLsSXOMu8bG2Wnk7nCdfOxx7CJXMRG5LgM95wRQWj
nHC9DMo6FzewGJuncdiTZFHloMFc6jTs5y5ue8934y5vLjK3g1fbgKlSzgKMq9PStO10FgZmWM2o
qAHOiCrwT0Qfm/1DmkAOb+aCAtnM7DJerDGKrFUY0cTxSZIU5iySUTDrqyCxmdGUuXcVB01s+WZU
xBDU5XFvnKEgtRY4D0Ib1PVoPscd7+WaR7gJ54ln8YYN32PYizwBr09oFj4ER0YPoWJk/FVCY9vO
YBHMI3KJexH1EXNryzBvu7Qh1aWTex3EoRBpXtiVgCUpVDQBAS8DKmMRRByLrz1OBT8tuixtF6qx
++gM61DfWjGxN3YbZAFzMby8i0q01Jwrp49A+QrH2Sw1i0T5bhPMIxwVX9OmAc8iDuP6RtlO8y0v
ubmqaRMGczcBXocJN4Bx7FTG7UKUNb7s29y0rpW28S3WBnyjcQzl+hp3tJ3XJIujVdkS0qwFDRX5
EBnU+yxQMbyccVyoJU0VV1dtZ2nXR0UD2PBGgGJSgdE9gxXM+2y6CN7uDKxkOYNd/q1ca+UF5Cou
qyT5SFzhWevWipvqQrd6cD6BMbmyE8Np57LJ4Kel7PuatSTT/RIldLj5QfUG7BPolWf40rIF3EVV
2PCoeCKT3veSGqZOnoZJdC1KClO+rMArCOEa2FSiBf9QYKsrBTNzjgDupmyri8zguWIRqop20ULP
KHPe1QUZjAZMJh/uCAxI6wEz5BdaZJ8DOMHo1K2jyGUutxN4L7rQ2TTCBDXaMu4+mrpF6iwENzc+
k7lI4hsXVoulEghfFl5YfIW9O07BuMUjcird0KvOAi7DetaVtGjAwe3MZU7gsfqIFt1dkib2VVsp
JFcF6urkS+NkoVplgZF973pvsCFRkfIZxAGuOY9Ix9UidzLvi4Eghs+aPCwYtcDMdWXDP0ZSqzMv
S2J7ZpOShGD24HQ1VnPifS5jow7nKREwTXojML21JSQuHjIwyN0pHAABc6MZLPY8tg14om3d13NY
ZJriDJcVcfzAS3UNK61ZI3C9i/iv0qu9W6MDN/2093SJ77USnWIZxrReRw2BoVogZ3rfakInXOcA
S+MbiecselnX+qLtaHoT16pgLlUrK2tre9U3DoCTIKz6ZZ4mUl4AMWadGxpZcs4LkdVnYdcAseDa
KuO34Imoe+QJMCNgOlXNEq4axbymdgtYBbriJg0LHP2JZW+6NevBA+s+5do0PBhMBeWcUyMJT40g
b77xEBm1n1LlJOvIQ/i6VUbQL8uqUNE86it4SSOiY/OqTdLevsycPE2B3aqRc2FhbrV+B96Nmjc8
B9QaV0QhK3sKzIirVDrHrdmWszolbrns3QLe/sRqQzrrgg4pP8iVU3xp7A7fxryEdw1WOu8zvOuZ
uhKewGBgSe7FCzfjTsPa6itxq8bFLElq+skmomhmjR1q68IKUrf+WATKK2Fxhzd6ngNtWCwgcOja
88jUiTynZc7NK9Ki1FkHrfTgvtrWCC+S0sibGTCXYDPAG6v0RZoGoH/pJeFCcTfhs6ZFaN0VFsz7
znFoxKyA04tHr/SZ+756cvKfuNuXXMZLamMKR3IR3ZVSye96TJJsDfT/OZOyw8QP/XFeOPE7TPwf
KfBC95uXDMxA4D+J/eBToEeDNbRecWFJd+FwRIhNfvIpUKlGgRpBpkkQMO9w6W8qfmDLYCepNTTE
hIrFv/kU2KgARwtAj1NoxwSHYEOy4AehtAUn5CCe//ySiofpPoqNbDjqDToRgE0BlwNaq45CS7cN
C69yefUhjnR+6qaedVGK9swVaeHbVfnZybJZEetkJSRN+wcuVWFcV10HPl4f+eBepNcezwXTSQcU
uHUqVSYXRaoihvsOeIEEG8sorS1m5XwRJjVfg/OJ/DAPLAbmIeS+VxdikdE8rW66MP/q8U4yA84/
YhQ8gNjPibJO69boT+1ctDzwO7eLTqs0mXUkMFbaKL+HnuiBkkDBssMSgiOceOu0CuvPOZT5n5HI
SS5cU4DvH93klcnzuZt1aJFjN5rVpYFmtPbETJq9OUvTiDDieGAusHeW0FLPixD7tiZ6Ybf5pWvz
mtWm9BZ12rfMCDS4FFw0q7JRl1gpz9ei+Fo24XmHmzlH3YwocoGs8KzpNWc6zisWgSlksev6TaWq
uQCEWRgYeg4/Fn4PGun81fVxHSwKu+AMYiJwV7nCK6+sPvLEvHFjJKp17nBDX0fAmK8gqvFFwZ1V
YXdK3DgaeSXjVUBrZtLAWpq4qWNmB/b3JKia9bBHflmJJJn1mbjqYnXpWPmpSPllgciZq42FVM2p
kTkz2YOpKYDRjnvfjvL7RpCPkfa+HsTE/G8zHvZjTdPrabync8THtuNJ6qftgDQetPQhkC6DvUfQ
2fiF7YDmEQTqYIeGbdumA053hI0tsMFlqLkBfuoFFQuFlRj2OAKNBC10H3N/bzAdYKN2TAf4kwg4
MMgYw/mBQzXmS8JC5naf2F2gPqDUvE2kuiHKPsssdZ20OaSdaoufQs6pybC1irsunmVJEiyC2ml8
3VYBQ0UO/lLXVDPw8D8iq+99nlPMGks7TPX4WqMCeDwPxhJU8nka55AXCkvCcp7elFTErBfSZVi2
F0aBJMtEnPtNXxu+0drBDOK0eJ7WxGClbopLJLJbaFZqX9C6F+cxIZpJhxQw91Q4JyldQhIvhNhC
Nr7Decj6Utxy4YJNMLKcoVKti9xeBK4O5yqBMIBa2QOQRZ8h0DZYSuyVNI0bo08wCwp10Q8+dW+H
34BIj1lhV51fymYuynWMz3Fo3td8U5q+9sKVlEE4a+oKiLO+iuGJJOlMpG0yI73K53kXb5pe5qzV
5X2lm1Os8wZyLXBDJeSXVOledQbNWSfmRn9eaXzaWu5fduysJYotyNPYaOZR+7wMy6sog6SiVbtA
mUMaMnHKlIWommMXASQmVUyHoVrT0kIMwuePJGysa8/gdy0R10q44D2nJqQ+MccLUkgCyZ4aMo1O
Wc3zQOp5mpTxLEgazErknpOIr7sqsphd8lnsio9tomKG+grPCxP4PlfBIuJ4QMQ44H3Pw0LXN6FG
ph9g70toyJjJKF8WKD5VCb21vH6DjVAssy5hGul5XHNvJglPgOspOcutfNWgmviOLk6hibgC/Iql
Z2axnwRYoKvc0uLGDQr44VKxPJEfequ8i2Qj16Q2ruAF33gSsn5lHIpTnuA/y6K+KIFAmBmuBYx4
Yz60TfVQ065bKA0550K5wQpi+m8ZTFEmQRU/gZVmETXVjU1CdZa56LSO46957531BQYbKvlSNsZ5
AWk7ppCLFjoMMJNJ0LBSqUsd9zB96lseBt8KTt2VMIFFiY3sJuhNDhEa5DJNuoZsb7hybXkKljxl
snOyhavE2gntTyVH/LTWwmFJ3N/AmM15Uds1BFVSznXolP5jAF2XwIRgbwCvNTsfOYEzw4H1Rcm4
9Ou+qphSQpwqUrWQw6OU8S4qWKpS7fetkn+GKAhXgvPyKnZsjzVmMWtFhxdulX12SR+zUHOIWWLM
FJERAJSLeZDGFcRPSQSzXZO1iiRnMnb4rCTVGvUuWhcuX1McpEsHdGGFY3YMzKJmLvjdKtY9k4VY
WbpYxYYzi2UPacVYg3+QGhhmmqV9iK9b1lmczrxQzbSFgSGB/zAs+yoOPSZV/Qm38ZldVqfS7C49
q7ypKWSSe5UtuQGZc5EFPRMJvqzb6lMkh2xpx68yq7pOwuazm7QXKuv/VAGEcQnkd1gm48/AgZ5a
LVp1St1q14EceyUQg8yuyby0PU9UMaeolIuscxUjZXsRlOZ1Irp03jZ4Tkl+SqpKsE5V3y07+CsK
8Qcgmi+BF78qYlr4bq2+BYHdsirp/0y5MplVuO4cSIC/VEYhOOgC8CtIfiu5ddYauZzXKbw1kAjp
ks9mFduryHKEuYR6ejLnEig8O5Kz/1vC0VCJM2wAfX0Jv30uMtxdxB83jj7X4kBVFYakJazVZOgR
NLSB+hkAwJ5yaJsL3d2IBUU1JizVPwKAoUIe0qawTdXx4CvbAcC4TOcNqzicO7a1ig9HF0HXR+jA
DRvbLYgrID+7tYrj2i4zQ2bZh97mYDkxLBCQB2wTMetFLBc19O9mcZBeWEABLGzTWqEKL6Ncf+CV
sRZpPPMaci2w4VcmPm1Uvkkq62ugUj8RQCv0+Dz0rFXPnZIlhux8TsOvqkuv6yBI5hBcbDzkOL7F
wScO0ir3e9ykZ1mXEpYCfwCTX4sv0uRnVSXdc6B+rlyepMyTHgL+xvAhHv4GSd+FGfw/9s6sSVJc
y9a/SG1ICAGPF3B8do95yBcsIiMSxDwJIX79XWSdqsqs6dgx62t226ytXiozw8PdGaS91/rWht5k
c3NteycHU5G/aDqJoKnF1XM6eKuqwD1Ltbwq0XyIBruLM2dYzjJXADwq6N4x3mkc3b2dgPow86fh
y3ng/nuZDA/aTE2Ul+m2EeoonMUOmklcncY9lBBZAz9zHm0CI6MZv+hMxMMEg6KnpAu0791wvz+W
VXPNdXHJdR63hMKDcbSEGYbKgfbk2V/xj2aBE+bkp6xHY7G05mj7xbivnbIDFLTQOMNeGZPc/wKV
/saZ1ImDPLq03a3V2HFVyI1x6RXPB46VPd8ZCkVvtXnsnr7ZNAtlSV4mnjzD24+FwgrvT9rZ2WX1
Lo16bIllR9WiigAL5MVMOHRdoW6tOZmjoRDVU8f3wgzeGIxe2gR2504XyG5xopM2qCCFhkZN95nJ
N/h/GUsxlNHY1U8KHyPpUNgVkqDy0M3WkRaOjUfDxjLHbsJ5gKcBa8PySmwMnhUYY99JrzlqnXzA
B8sDKcQDb8QdYa4dklGc/KqBy+64GcrFrgxgKN8RJ9k7+chPToMua+7yBy+pv3qWhO5U3VZZ8ZHX
/VPqw3VBr63DFF9qB0dYhz6B0500cxq6jMU2H2do4ElYNrKIW6mixYcJthRbi0+7gtnlBoay2bBB
fXqO00ZcdBPEw/alaaqNT9vylDk42mv/G36nV+qZDoE99OgVPdS2C8ikABZve15M/9gtxV3SKi/k
Vt6j3MFGJmdYJpWqVVD2zdFq5vJEKyhO3vAihXtCjvWunhqYCdKvQkKXZYuqF15S0uvYh0cHGIJ9
aevu3ptw4h2dRsZZLpZKPpKJwGyYnDu/9e5gi+y0XfcBTZK9WxAvcHDRB9Ax4nkBuQNrkQcsLVAp
6V4HeddPIVnMW2ovQ+gMJA1LHNEAzfdhnEhkFQK6PqpQWlbyCoBwKxdWbUxxB/6MZtjOp3R5g973
Nk7iAYbgQ1HSSM3eTcFYEep04aFmdh7YkjwZj0BOKN1NtoxxZiZxkBJqbUtHB6d9gj1BzBvOqznw
wdk0bcsDmAN2xAj/ZPNwLi1ynq2x3kgPRbFllrdmkTvTjk7YwJPB6YJCaTTKGtNDLYD+ew8yrAm7
YaTbhKV+yGyBzzOVdaQVrkD8/TdWzpA8HAjdBRiKwCvJXaesz6HCJcFFJQ+N6z62fXcZSigEjPLP
trWuLtHxkM8iIKzkm1q7LBY0jzNr6U8JtbZzzXG2ccSPXY0vXdS4muD+vPKqbOKGYA2GFeWH09Rz
lCLpLuFi3jXUvHVCNlsfSyMvZNzZioRZxs+QGK5DaVfBin5ERtr3MIF1kPLmphusbd7zh3bBWtnQ
e5p2LGwWr0ep4r6laXuAonCAISYjLS0ROJZ6JGKhYZLLDq0XFITewUVdDMnrJJbXfuzusoGnu7Qk
uzanCtgjYD0+qvvWo1XUFzi/NmkizwaPp92kDtKqf8/7EktFGzYZrNV+2aZdVgWMDw8m0U8FG5/7
bu24CvWMgt/aUXCiEZ7elR2XIZ8iCRsAXnxZBU3amaCk9r4f8vta2NulVQ16D/qqi9lC5ZXDhfFz
MDYFgwUh4Gqyp0nc6uGwJC9aHnlm39Y51G5HPKHCfpR2hVNTj1tRNxeGoeOoK+mwg9n7SbHQQzL2
b2Ay4tbmJNmBMioDF0bRpnQlFB3Oo8bXpwEY4eQzdAWgSmdpNouh97UjjlljIOym6tkdDXqgbjx0
42USJhgdJYPUTW+4sWVUNr7csq7PQaLKZ2qWbVn2+akmWP4X0p9945J4MqqApzuj+6W2HQyth7OV
QOVu04PjeyQchJct6IpTvwuMstmOz82nJ6vsrOsRMlyKFdt9zptKb/tRQjceu8VcaGbJMBtwnl2z
iF3qjRspkxCN4nBIxsW/UrtvrtZCll0yjHw/udml7DPPe1PcmO0yzwzrsddtsHnksd+lceXQM2ud
PVajg0hw6UDlQCtOloj03H6SbosVYurSgA9kl3X8wvmwthXWp22sz8SgdzboGE0274xFospzI1ZY
+Or4jINNm6iYy6+zLOrASbMts3KGqtfG8pCKl2yuADjSMd/oLtt0dGgCeNyxmAg0S1ccUxzs9n20
DpQnd0Xi7gjR7CJ792q3cxJKVVEAFdYjDj92cVp+tnN+AO3gxm033/aD2OZwEiLHduu4nkFqmt5q
I1m2kD07/VKPcx/O5b3DTSRK57HyuxsDFTUQS7HXXMS9LG8m3CfB0MwxOvoHt+FfsbjejL6uwzLD
JSBFd0dJH2OBo1vNe2zZFIRTxmTgLnRXi5EFfl5dXb83QZFkaiP9wmz6GeoJ1v0yysSSBb0YNtVc
okEWHNZbw96WgaGv0XrryhyLsycuyBS99D3YF7d0w6YiGyrn0NHeK7aWeNLsDq3wEXfuzmVrf6Oz
xxbKRJjL8qwpttqCnmQyQhxonp2WvugEnqlTu88Dm8/N7E6hlj5BH0vbwHfSJ2ivdUhJuV/koef9
eU7TuNUMlLf0bjMHCqkg4lG103kBhm3V8r3kzqEraInTbk7T7KkdjK5xU8/iXFGvDkWFhZBkW8uR
IuocvisadtLWclS9bYeps/ShWMRzrqvqxk6sJUpHj6yONYumDPjxpHwIR5zZgVPVJmxB5228pd8N
nDVRb+XvrkYN483qxm0HtFIA4bapPwynqutN2Nn6WOauh0Up2RZlQrZ+pXPUnMmIm8spAds+iJEc
hHSrrciavY9qqw3K1gZJsky+kL/wTv/dps3/QEUVCuTft2P/B3dX/fnnZszCq35VVNGMgfi3kUxF
zmF1XX5qxiC24rHMzi8MK6yf35uxNfiAUc2/xyl+pVs9PHAQD5xDXY0no8Cr+c/o1j8xYGgQGThG
G2AUPiddH4v0o6Sa9q7Oc9srr4R2r6kcYVKr8p0aZ1/Sqg5ysYQD5DbXqQJrcuPFTk++6S7aq2Ds
66rbV7KrApWiMXIVi1PHitEe3GsJ7tpzGxVOqTlZYxIJAklR0vEJaH8blnQtXLsynEi/K4vhrRJz
GijKPxImsRWSKsVtNB9nb/ooFIUqUcDagK+1EWZyAmrqZWMpUkZ95cwR/NAxdJWvQm4sEY5NbeK6
MTfMOE7E0vKoZscO4Ii+2CvODqP6o7HEAeBjG3Vz3QbpNBRBleJ2zAAD1q5/s/j0eUqWFL6JLEC/
ER2U7og/ilyGSwp6vKrSBJmNvZ2OsXHRIXSwigOmkdvI0vPo1sc2aY8ZvhMkM/D1FWN3WhbRlKbV
pqjZOaHsITHlCGdHVRAmbaCtwwR6bq2O0TnvKtvIMPHaZ8/pSSgsk6o0dKZOpvcjy9sv4DOezML1
cfSGa2uPw7ZEL7vWzl/mFCZ8XWyrVouAK6dBL4RGQNkJC7LEO2cpe7I7aDtK6ivBA7M2RaGWiDlL
ulkA1wcp4gpb0qg7m2QfqEKbLViQkILwODbibZzfgMHEvBVvg7Gbreqtbakga/etrponn2b1fWmV
bfEp0+VDz9ndYkNCdVXboCv+von3NL8kuL73KJyt3Tyy5sr6xL/yCnEN4ych9+FVaVfsxn4tYb5X
C9w3FztfsMrJtZoARfesax25a61ho+iAs8521vdCpP9elPyv7PRddlpJ4r9f5zCa6NdRk39e7NaX
/rrYIQXmw5uBfoJHWGMgMf7pN+WJ/pfjCbQBoJehTFk/LXYYu4FINxwkML/2qgf9utitM/KwJn3/
ZVj0nP/EeYbT/ZPwtIbA1gH3AmOxAW8LeFI/r3UIDMCOACN0NWQSqA0YFpYsqGsv3wuV1VfolmeZ
ocwUTr9NFuHcdqbwgyW17uyE3xW9+mwsWEjznO3zaTpmLo0nW53QUoZkWg5lTU9eTaOFuWM48fnd
tPbJKlG526q6ICQXJ6l7GjIYnobcijx7dE397MxjCJvg0+MeNBwPbVe9L9BbZISkgcjsvePB8zGA
Z7h1C6vmogxcZN+6oNAZgWsCsvSWrdNTVD3po9MhxoJvtCl7/e7L8Zz4RTz29hc7LbfTOB7qRMSj
7R8n3l2SLLv4qAd9dMNp1l4UQ0PcdOd+Zs94Otcuo/TiwzQhMC9y3K8NoRuULlE3LBEY/FdfDjcI
EpxTbcKp8bZcq41dikvPEPLyvw29v4bTtAozpUAJeW8rSSoFf87zaU8GP5qc4S5Lly3JYda1SyDa
/t4MwIiSWV5Tx90hYxHRXDyC99ktZrhDpuG9ZvOFePUlS7rTJFa1RB2q3uyA6kB+b7+5eXvBhOXN
kvhYnPmdm0En8Ei7w5pcB7zU50K50MFMd+yS4s1uOBQKEWawyVfe+KrIeEpZFS1YQ/ulDgeX3OX+
DBgxeeJrJMrHLlRLGnSZ3CTFzLGiWl3oVt1ZeqWOhUbFXhqVRI0Ub7D6+y1q+K3XOipM5/aZsTYL
Kj2/o1Fbff8+tbrNYHy9gOf0+nyXI5e1H5u+z6/wKJF9yr8L6jBRZOxDUoymedg7pLG2DUB86Dzt
XdGApagFRJOhK9ASoFM9z84yRZOBG1jO8Jl84HVRYi/5HaNsWzBrCBB62uU1HVaMDwq/hGVUMxSe
tFZQyFqYZKNn5aFyNd8BZkUAQ5h7yU23kuJzkAAkjUGJortuYZzqdHj0+hHJLqFMkJfsFnpIC9r6
m3ZgGfiEPRCWfG3Qb3uGXxfmxLwvLkjL6ajQU8jL5FMu/Ozl4zPReN25V+O0wc+qsGshFYLI3ciq
uWVN9aTVKKN2GsYgcQSFrMqLKG/5ewrsCd5pbQIQ3iqCoIomCxKOO+cfPlFzAIywgr6RdVHBvM+0
9b/Uhj06jvjE54ex0QDIgiRYRnZrAD9Wdhs5dY52pkhkMLV015Z9ZHvyOmXVwav0E5/NN+Vah9z3
DrzJZDwTdEZp9gRFauNXZXeB1NDF1YSeiCkizk2Z3NctDN8UmcMNyyY7UhxSlKb1i84XHOWu+iCN
1wTWrPvIRRIizot5n5Bym1u+DP1lel2aDAbZOF+l5b5n0/w+86kP+hnwDGI0O1tMDl5Zoq3uCRQn
hsAbGM/OZtukYS9jB0kJyxQkKGcPmQAIsJAvJrXxywn/KpMOgDDAfHDX70T10cCECefEioDzP9sp
RCPjw/Bkygo5ygLIQSzkIzrGpW8fMm1XkQUDfjMLnPc5SV7sEkJo0iYuri877goo1T5U/M0iC4Oo
KW7LXnsDPp79rYKntp0S2GfK6QPYdxqGfreXchH4bNOhRa0zV6inDCo1r7L3OrMu2TiBYrUOo/aW
oCS+H0iCokFZ8MMy616n49GpswcohlYw5SKq+3wKPK6RKJjJSSrAdLUp4GZyJ5BV60bldzooy4o6
BmgDZog0q6a4gkQERvCejzLOVsiotjyytVbwyNToxesVRpoVg4VsbttqgCG4AkuILcnwf2uRX2oR
UB3/XIv8Nnj8L6oRvPi3amR9/hRCgogQIozjruny36oR+78oxq67Psa6/QtZ+bX1wtwRPNYKvMrv
r/q9GkER/r2KQJEi8NTo/6Qc+VMuDm/PgdPgP/xSIHc/FyNOaVlenvTLdRmfOw/+AuzlHw7MX6B2
62/4PUT1L5/NwyP1EDBBYIyvn+CHtNjSJqIFDU6vwwwixYI+KYPB+Zim3T+/z8/f5M/vs/p9P7wP
ioK266VDr047hbQ/affjn99g9R7/8ZusSOEP75DSrmYqwzdha7yGP7r+t4YYLAdXX00bdN3hML22
aqfkzYhGjMrPHOhfesOaWzAYqW6hOMJGSzcwaSBO36r8XldZNMNq+edPStd2+Z+OOQzWHz8p3IRk
1P16LOxNslQghJ8Vbv2G8qvG/gELMpDmm0uA3uB/PfGvVQFU61/jle76Bn/8ABiK46yPC+Gocv5Q
49ZeSsfJcs3VTLmkIfX78lRAoBhD08LdCv3vMB9gwEM/owBQ+o6WaBF13SCOtKJ//QoBslZZE2AR
66D9UfXbsnphlX3QiYWWkZGcPs4AXbZ24ecws+DSITyw6UW/b7HzswlE/miiaTTbbLlOQm6qFE1w
R7DLAKmGsF2xm2TJ40SBbQASNDwMqXe2xzLoCxFNNT4AKBlkRUJ3KQOTt1HhPKDG6CIBuXXpsC8Y
GiqqTq616tA7070MOfJFxIZaWCNtwW8R2s/najvVrHmsnDJoQVtuGv9h5CLC/IEgnyA4ODLlEZed
F1lexTdNUb6OBAZjtfRQDpMhKlJ++udLxF7PwO9nCF3Izzf+HwPFkCbBlszDcrW29i7ZL6fx2d56
+/46BPQ07rqw33iRH5rYDg/9AVH9aH4lexTxW2uL/iTOfyGu//6S+enz/Pn2XbumH24uXqLmrdZL
tin2DZAUHQFX6uLO+jfL0V9dmUCMfluO/rDgwQ9Yygxm5RW+U/kwf3QpVO+Qs0gkv2yNf/uN6M+H
+Jev9ONN8AfCwMf56G1fsmtmh/lNMcP4CzFeAnx+7ofpVf+7r/ZXKyCmwCKUi1EmSLD/YQWsRDW7
bmmzq84HZJnegXf980XzVwvgj2/wh2MHSRppqZSx6zBFyikCDdNlLv7NCfp3b/KHVdaffbEYyIVX
fwI+dhjFAxNf/vl7/NWW9OP3+MPyaLBX91Ds2BWyKOwKHVjizs8vazPx/Y3+uxXpv40R/H8yawHb
y+9jE36Z1WPh7/6+PEJUb/z86xf9VhYB5AXLj4Q9RBdMysE5+q0swlSFFa3FU+RcG7F2nJ5/lUXr
eEUHVJHv/wLyChRTv5ZF6/D671A/pv9A/PnPRvV8l3v+sD6CIRYQYyAJYfzb+vl+XI+mdh6Qmcxs
lC3cAv437bXhHVQA24a51MXgDRRcPfPsMvDzQ8q/9jZIGtBnkbPGovIZCPrYZ8dRNxbq8/pMcqsP
PBi20TxMlxkOVQRGpkHjod6NX79mMt0gq3eHuTTb2owHZrO7roUPn3cGJljLBggz7FRXSB2mxH0c
Cr8JSx+jfRadPC5N/gw/0AWRucyhmKurk9pXqsXG75qDW3b7AgDPfpmSPlToOcMpmzE3Z9kwr/2G
jALQiNQ51LByMFLk3ZMm8IflaUYjERSsgpmM5GMgeFWjI01Ca4am7rbZk6bqSzFPPMyKbMcUZr3A
RYLKnNmgJEBkhrK1L0XVHcqC24Hu+2/dlNFgJg0gpNK7SiBA4CC6a+5M7WGuRjAfElywW2ETKLI+
DX0rTS6DaKwIUOoCQIcv3zw2FZeJu18XiYPbJlV2y5BhCrKh/8yQAzjnTbl30OoHCWux/deDdx3k
XG1cV+OsqYwHfTqmYVHNgDxS7PSANsVWrpsx1AsH1rGb3lqpTWGw52nQpbIEZo1dH4nlBr2ZnQKw
KPOdbc/lhkjJtnm2ziJYkKwXM5JvACERoEtoRGcDUZoPMuZWm8Ro9spNX41sOzZ2tant/IQsw3EZ
82tR0/1o0iWSlfcNdYkIchfVABmkHRkFxogmrtkWKi03Vp55OBDUIDzR+dsxF7AE5l5tfYb8WZX2
QKqQ3LyDcO1tVetkG0y2y3eWlSTRNJVwz22b3JaQKYNqwTftZiGgiFki9lIyhrnRXmCatN0Q5EER
8CrkwQFUu01Z9mDYcKOUVW8y4pkAgs97Uw6wWDOBDHLn80ProzpL6TpDY1kPkWT1Fz04+WON8Gsw
ZH69MwoDQ9gMpKpMalSpHmSIrMU8KInjHtg9UTtPQ17PNLS8yFXyo6ggFVi5m2ymtCI7a8xj5ZSb
JKnB4SIGh1FK4HIQl67QUAMMIrn2or6tylCg075d6Hybz+oO44KKzcByKsOSlRfE58cdEpbfRmyX
I52yeGwpECS/7M8SabnQnkVU9p0ABaaTkyDutEXxzu8YUU/Sb0YgQKOak23GZhCEUrVfNT6VuxCM
DMpyGLde1m2JNA+UaBrPWSpCa/IPdcXERmtDgaMpRHYG6EQYuIC0OKSluiYHiKw7aduPE4q0EI3/
Q9XlBzevb7Q7hIS458H5krjsqBoxvUCN/dRiPM2ckKCGoxF5WumTQlR65/sjULIe5lFaWCeGd8va
7DhN/FsHeCikS3m2tEWDyXefFg/wk8wXDwZQ9TG4mBaBMPm+yc0tRumclCMxyWDVierKa7aFXFm7
KXOi71OnJgmwqMeP1wOMNXewndgYnELaVZAy0/tyTr5YjXptOZYHz2qnyC36o9T0bS6EQLTARuU/
NGlMgVlSiQq64D2GgA1IHCwABsphOg+eflbQ1SOX8Bt/Xq3nyq33INLwk6MFpaUop7Adm6PKrR1C
iDX07yTOraa7Sn9c1cDcCsjsR+AUPodEFIEzyQhzAMQrMkIVqKp6Ptds/Npwd18r5wXZQyhTFQ3y
fnnHxATMBWjmHb50GWcMYlJFl6gU7iXLscr4DTQuUD+FT5pgauiOdGJndBflTGK6hNS3GB53KtkA
1l+W76Pn79zavtC03RLebVPMA8A5RUFC8WfnLfOkDAepvg3SvcGAkXEzNWY/VjzbKLeEDl/cIsNN
sBeosLTNMRvL28onEZXZQ4mhNJmod64CzKUq+VDKMUSAtgcxh9lVlQHNghkVsgw9a5gxI4iF6F8/
EwXFEvsYMdvBY4OH5ERRhqmo7zCaq9/8PymO/gfa9ShY/r42inFl1b89vu/3OYbf54r+yk7DXheQ
eNCnwD+y+I8O1mpueQCnMYkUP7HOqfpdM8KfYWxR23Fhov+YgHL+CzgxTDHHxUAbzJj/j+YYuusc
xZ+LI0QnHR8hLJeizYBZ9nNxVFTYOuYxcS/JPBzSsZvq86iZEWFeTW2LuQRSLVtPDwOmTFTp/NT4
aySw8aE3H8c8e53t4R6DFUyUDTUwyFFtOxCbxZJivbBqFjW0BMTs5+9g1cHy1g4oXzIgTY3MM8rD
MRQleW0wyxDF0LNWDS1uR1Qj99iodr6eYZ0nuCcwUiK1JLkUSe3poJs6bLwkfQURmd0kSSbFTVYa
98apvQED6DTCJoFQ5dhEwMqs+kFgukec9D4m4Q0zTUaMihky+aR4NWBySqGfC+ZnKP2KZiezPDc7
ZvVnjIE4aOXcOSkQqMStn6ylfFAc61mTtV8Z2k+YaeodMwdk2APTwjN63rM1Dt8TfhGKPYt5flKZ
dDAbhZwIGFNScahFEqY+BxEFzwI5o6EGqUN59swS2wsrUXxhqXNfePqa5xhQZYj8gLr4UCn+afFc
bgb4PIHjjbeuXQAzmKcOFKzGapW2xRcDJT0otNxZi6+jroOiX5XeQ1dSFjc1MLMao1ZAVbNdBvKg
BpQZVVru7QxmgVOh4sQgBMxLtIp6w/IOUzssc7BbdpswWBwI8GA8BGc7TJ2kIfMKoMdmZnsMRcTs
DGV9WI0feWoA1Js4yaZwB4C9/luaNUfM0T8Otr8OlsK+Zi/+vZtgeceArXhOyIfjL3FpzXvgDZe0
RwWAyjZqezB8VQ0Yekjab2ND+kBI8JmKVF915s8wouoXXNJjwPzJ3QmOehOX1y2n3cp4N5fRyUnA
l+QGc1lunRQpnjSjgJUJOP8SU3qsuXdC1KrDWv1GmdO8qJyBYU7Hw4gzOA4qhnIlt7MDvkpYXbNZ
ar6vJozc7JxnOowXDP18yEfMhJLW8FSl2d06piFqLbWlqSD7XIw2hiX0d8ZNHrA13y6dwi1CZRsh
WgvoXkoT0T65UcmyM6Cu9vZMvvYdySKLYxSmcRIkBKhfImYLFyZ1hq3nWjzCVIrl0LTuNcdgkbjx
QIO3qrZDGEIjSkl9cgr6gRjwATYEeJZBnkXeQuGy3COCs3Rr+Zg0YNIO8AWvIk7zN5B/Ojb+ePV7
/jKRzApxq09Bbiq4mAoWilEL5nQ1d2ppw1G5u2XV9Fx3HeBTNyh2iumR6aXeEY6rM0kR7xtK+Vka
tmyV67442rlnFGd4agqUaz3be1DuYXp5p2xCaS8QCAqtivNYd/lVpgJwT3FXlUD0M1zbGr54oPMC
Xp2PEZZ1F4sSbIpuYbd0PajmrhYPmq4ce299Sxj/YtnlV6Rj9p22LVCrwK4Twj5BaT4NueuHVVU9
VXpkG+YjsW0ATUtRvTaGH2GCGgdODgZj8IPLZ3Fr5x7sGzlYBtxu925r5KyZ0+EuhwmsnO4syDxu
lgLBgGl572322nm+vfOtekaKw71Z1FRHHgZwRrxHaS64XSNuYb4i9TTsLXe8z+oRe3drlWBEG4Ph
e0WOtdb+AtzxfqwwNUVjVgJqqQQ6msII2Lxta4TgrMsE+GVTOPbntBgf01PFOc8ZDNqkgc1d1ICu
CUfORHV+UFkaLRvXX8mEO5kOYIGsRDsXOWNkJkZmzJFHWBbZrLvTtQAu47njhmJiRyHreTUnId3a
JpIYGIqJnFl7Bm6+N1XyparnOaoIrzbMRb2PQV9l2Pb5V+HWLrq5fNk4dRKn3DY7Uffdvml5XAAA
jZBaKWPPg6KN9XDZAmT+0nsORs4QVE/JtlF1dpsRzERyGukjWwaJzR8rH14oJucKZHZvRc3a2O3o
HgN3Trkr03iscm87dBOyqFADwmQy5gBQ4KNABDPO2tE+MBCLodMualPMab3L6np5XHSFc6MNiZ01
GUJqnFe49VgRx2mPQS1IGFBvCUsHs0JK/5D4y5HIBbNKadvHSbHcYsBGhHb93iOuOC1Dh3EtCtyq
msxNq7IHGOAGGyItY8Q8ZaAy0mPG3fhVdBUaPIxc2M7eiHEfNAW2wZCcoWV2M0p2UyeLFRWNnLZt
uxztMTkhvBoV3XIz9UOxsfPOAqEJrV26/cV38q9eXb2XQ4KgnesngUCoCMlfB0lBz2wSkU5huiBt
Yln6CdjVW1OQm7KX9wWSquH6hOhN3lMR9Lz9LBf3W1pZHFwHH6JecvxK9H6RLq3XFgOmgJvKS+Kr
JkYzOkW664FZJ8Wx9iprl895+tRlJQKnyatgaFoYbl3Mr/qGZvnVsQmYuPHSTriU+Vh9TRzmbzA6
qcDAo/IJESmJGIlEAIGQ28VqrYiU8kxbJ4EcUhxLJEJDjj3VIRMWMEo/Z29AbZycvMRUW0uaA/pQ
ACUFcF2nfq5Mf5lr4MLCYFxYn/MQJ/TQDfTolPDEW++bhrseCLgDGMcGLjz/9MgUD6oZtwNGPQ0t
/lU35MnKLcyBO1Yw7nvl7tuhePNV/o75MGE7EQtdhbuH3LFeNV4KgL0/LIOOSwyagsaA4Zl5Oxzn
BdezTFgfM8Y/bWCN/5e9M1mu29i27a+cH4ACNRLdjV1v1jXZQVAShbouEsDXv5H0kS3ash1+cW/j
RjgcblHkLgBkrlxrzjFXpuPdJmnEP2YBHwvq+DbHv4biLIBimOyo3F6owA7JBJKCSmdl9e5xcaoi
GOrk0m0Ylvjy0bD44/VUwR1LT5l0451V9F/sCBcytoWgLrBaY7lSRYxhseGh3Ng5MR6HWVgXU5bc
t1IiSOjQz2tQguvEP4NM4a8tBNyDhnvGSx0kEXax48y0rEcz3biGxMNg1WLVoVvc0uipaFRbLBbt
fFuMDR9NlOMmpu7EapJstNJS1UN78Kz4KOf0W2w4yTaS4hI9ya5adp2PXVzs2rmk0XImtOyOcXi2
0myge7pwdih88LxgP4Fy8dkSShUTfWbedWabQ0vJocdcrOYVF7MiQUmYRbU+ticen7tIAbYTSNtG
7QEwrkDoMBLZI2Dam3SXxj5bh8Kqr5G7KHNNmbhykzAL0x7jsap0GMZAMY9wr2VhrRJgQOO2ykdt
vgZy+lIi2dbWdlghv1g8tDQYNo6VxCM2ZVDZdA1Ajx/Rqqq0rYaSaF1mWGoSu1rbRTasw7F64vy2
bEoxNrBLIwOoUgpgsrxFZT9tO4vzfdo+YtlxOOwZfNKk34JGP8Se/QpO5GpKQMbFXp0hOOoLILI8
IVlmN0joR2OlzdXEdoI3MdPZ2Dq2NK6funbU5oM/oxmJz5oWTWle2+up9y7GHv/T4J3RU/WRH6Sv
hj+vO98+MxZ0YnVVf2ZvoaeYK3+kuO+SxD72GIkWBD27JdVdEMlib4/DVYN8nyIPAiRHiRV1jWQ0
U35tZYGcJNYCWmvLtuncM7sB0ZiNm7JHau8Uldyz7p750tp5s8NmR8dqP4w80anJCzotPnU771ad
MVLe0EikswcFi2rXN7KXrEkwY15mdcYKMK+AUB2clj6WL8YLrSubVYnzs3DSr3RH6aUYcyDn5KKK
9AsHBWpejhe2een2BRDJZt22WnQc9eoR7N+hj5Pn3uvva79qV+mib4AvTa53O0UdNOjiYm7MlwRB
j99prIxFdFhmbzmkQ/7CG7yPE0zfHrXgJu7r5MSq8GIX1fhYLKiJqiY9TYDJ1thXgHUWy7kcZzNo
XOOpHvXXKc2upSxfs1pgb0ejVMz+c+5UIJjixwL25//OtOP/4IGeSdufH+ihdw7d60+mHfzWD9MO
z3d0WPxUNHQh6RD8MO0AIqIjKwUl8s41+vVA739CecyP0L0hGkUp8tu0Q6APYTbCaZ8/inbE/yci
ENP7w4He83TjXd/KWxCo8T8e6CcZRpDxQvsyW2pvPixuVVifx5jy4RLqmlUUTC80cy9C1Xga4tvZ
ZpSeuTYLE+or3JSYOYDgZpvB7+1157Cj65K9WkwW44axesXUFeH+TV6XpqP2s6Ak4ybCIMyJognT
q7QBNRaF/Qa1EgonAe5MzDjhEp8xCdL7EIlpNjJxLNge2l65fPrTUNb+yvCSx9FwrxOr3Ll50WLd
WpfjsksaXASjXugwIarrBZBB5VaHzu7QVuUVJMceN6cPgI326PLqp+216xJLMNCaZZkyr0y9z88H
e6m2MA5Laqa8oqBvvllh9DqkKP0Lzdv085ucTE7cDgYwzYrWeVGeT6b9WJcRrAuBKMDugMq2lqyD
rDbYiitk9YvgWGuM08laknRjtsvbIMLtUI0nw5c7w2MFr6tdZ3WbFgoq7Wqg9MjYg3a03np6dRnN
ClgoK0ZPZyW9vMVB0TpEVJ2x0vzS7xOq8Zfn9b6gEzhV6V1OZ7Dvy+u61U8xHUOgaqD5SA4YuaSD
airqU9KWu14zxFa49dFwis9lF8M98cIzmtZngDJLpY4s3SMWk/bamBhovOCPisxNZ1VRea0t/Vzv
CoMmYqRn+hM8J5+6e8y+ILim+01NkJjDF7+Lt57pR4EU/DgZ5BujjC5Iu4kzxzjt+zm+sMtQbDQ5
zdumj79Jjc5lKuZnFN13/TJdG6PxAk75yF7wnIyM012nszZeZH9NzOko9Wh+yeMGlUtfAzC2SnAS
7Yi5E4iG015DEdx7rdDOwPrezQkfCwgXRJxIXNLQwikXL0ApnPUQ93SIM9ff9O6s76lvjbSyYWL2
D2MPELGo0Q3kADozxLg7R8PXBaxvqg0HQ8hIfVHFXyJK7yAf5mUrJJiedI52ptY9J7LC0Bq6QSk4
8nFyZADQLbBKsIEYwP8maYcQW7SrOdSeULMeXSRUNJLTe0SsKIjIM6HFASkEXjI4vz01owcDpjqy
7Un0onUwNIId3s2+dXF/WRf269gxwcihlGRzeiFM/VRb8bhyK/9UQopdmSQ6BCmIjzZO4lXaj3LX
TFAAexRPdEvIxMzE8+JVmyJ3DnoXPVuZVd8umhuvtFjASDade0+LbyfAQ7ovn5rYTg517B+WqTmF
kahPYdU9uQxLaG/eaq57iC1xqfndday7b7W9XBRFi4ONe3Nx52VdI/+l6IhuRlxnGWzKaEh2bRr7
nML8csXT4750Y3eIzXS4CcUYw0bOtwz0Tm7PQeffXjXNEnYk5Bd/vrWdvWY/GeOr3/l1Y4PlZ6NB
JNPGxlahMHq/bmzWJ6bwwD8slIVQ+/jR9041bjTuUGxnHj/8iPkTnyB0Ocz/SemxKNH/0cYGOeT3
nWrvXdmoiCJI0UDIf9zYfAu4KvEuzmU25tGJkJAmvJ2AfDR710wy/KVMpWfPVoxlB9N5nh9IIpEQ
ADVnn4WQxIvZLM6l1H0Kwxx00cQkdmVDQl5ZHLwEomyaTOiAM/BJmp86594S4s3IwU0UEYN6Goz+
It4cGKMU6nS5iS1ZClBb0ankXk25Z7X3m1fdxj33s6lu7Fzd4p262XGa7nLu/sWqd5KnoVGPha4e
EMaYY1DyzPRQ+P3Of6PpzS4oLpdGHEyeMfqmeKe6J009fGVYnRqeRsTFyYFd5iln/i14XgueW9z2
5MYIPyY+gIfa4OnmaH+wRL1J9fCZ/syrEj5SozeAANTSQCecB47VwlLLBi5axeb2T41aUrLWPGVd
ftFwJuEQGJ03rD4Q3i/7pfzWq2XJ76tgqSS5KGF9LNTSVQAax8W9BltAPc7i5i8lnGTWO08tfJY3
Y2DXnkQbX89qaYz79DCoxbJRy6bP+lmphbRWS2rK2mrK5jljrWU9qQLHapdtNDOgj+r4S6eW5lkt
0qUx71xW7Vwt3+CsLkq1oEu1tDPueqjD2N5Y7bdBLf6u2gbCiD0lcqBDe8Y3TW0VQDEvG7V5LGob
GdlPhNpYNHaYjJ0mh6Prq60HuEyQqs3IiYhnmtQGhXnwKNixPLV1ARrwAwixzza7GsODl0lfrhuh
3Y0t3v6anZ0sq2/oAejdyszf1B3hO968z9Sm2b5vn+yjk9pQNcOJsKRH25S9lgQiubLYfT12YUjD
/DxtaUGZsEo+Y98xzybHiRE3DFO063Fn5msIsPaOz08jfTamEmdDMtAWxNvi0SL3aKkXrAZrnKal
v2lCfjlT3ziMavbbsF/Dv8EgotFVWYUZNRZDn3g/j/rlwsNwPYvU22WakNe1KsUmaR4tK7UC+g7w
VfidJam1yzTCBelNegX9d4QS5jQWchBj1je2lUyHwtOcldNUyVGIadl5oyM39H96TPO0yPVx3Eqa
REKPLunrYTo0jXNrgOgIE/R67rxo3eXpReOilDeNRymc+RZsTfZMoBIdiAbulmVMkMFaiJk9N2Tr
WhlH7QjRL7ECODWtlYVYgDG24L4xqay8Ugc9IElEoR+9QdjgrwibOs9MmqF+aa4GUixWQ46NHF/p
53bQdgYjktVotYfSHWBbOeKoCcs5GlEu1hVgCdUJaV9MrwEkx/hqA9YTCyVF7aqMPdpk6Ga2ZH8w
YekX/UtjmE+Q08OtT825AV0iduUysSplubOrCphdHfKj3Zg11cow1fUN3WK12OGp8eMdrviLhCcK
iOCAgaS9jiWfWgcvZETVCUb4LikozSuf43O6tOeW5YtgonvAmoHVqieoi9bWlsnevC3KAjN7Yq9b
1TNnznAS+EVXsoaN4mTPdFd2g9bdLtk4rqA8EGMl2w1w4fNuaKPtPBQwezx8b3W9d4fuW2QRC+Cg
AVvX2Gz5d0RsnYupuCu6ND/z4/Gq5BtdVXbib4oKq0ZEDQ8S53F2y6206xNxWW8T7PhVXhXHPpPT
JjKmHfLQ238rhPcKQXnF/7xCIFrpdXxrX7ufnH/5xV/LBP0Tpkcf+qbyPL7XAr+WCQy0mSEbv5gZ
HGX9/l4miE+Ozi8xuWaXRozHj76r/bxPnDHwR+BmZ65t41v4BzCwn5QJgjoEPo8Lftj0fe93Ut0y
EsiiRgHoQ8+jPQfRXRxxTuPYdhq8kWbPYHZnGGqqnaUvkBBAIpSpjeCL5nmraAmd1u2B5jkbn1Zm
EEnXwi4XNwFSswUEhDTXcS9UipsLBkROxVVDnzVWhIaxhdXAan+CoX/WAnEQlY+ADKxDM9ePIdOF
gA39fFHkBxLBxj0j6mNUwOfIwEMsaqIc2d45sYP3kYJI9NAkfEl4YNkmoETbV9OxOf8AoBgLp15J
Im0IcaBllo3LuQuuYlLcCsOynnxAFu40nnzAFtLL7zSnOO85wgZg3e/LlrmiZhDPEcqTt9g3JZAM
I9KeTaAZEdiTXocx2YHTqL3qyQSvYcWMQ2IHG9UEUZCb4rXPBcJkReXQmBQlitOBLQmPWwsqaA6b
eSNESfLfOLJ1gPhoOVuDNbH2laJ/gKG8kDncwmiRxs7J+m1Kp3nKyINjdlkGmrlAuXC/mGBFsmHe
wiYvVlZUXk2AR+a4OCRmgU/P667cwbuPmzDa1Pb85KrReiKBWqFJzYK8TGjDJXNHZ8NDwMmkZiq9
rRHnxwkeSrwUwHN6896NWwO0vRkGnKAu09EzL3J4KpOIbpsLO8bKi1tcipM7pylzb32beCM7UQPG
vV/STc++tmsH8RS7aPfYm+C+VckO2AE4pKL6knku6DVFzTEbY5vDgJl15KH9vE+wVGANSD+3rfXm
OeYb+lJwRHBkFOCe0X5EKNFYbNI5tx8sJyPLAzk1iAD8HxBpoJYdcgg1zhBvWxExIyRQZDMrjI0Z
ufNOvJvjS2foN3LUrpNafvWXTLb0XYFS68BFlwaiigdu1NZgKTUASH23ov4ymWOUwmMsZou9qZil
VTu9EnVxl+jVeuyKja4A2Ny63Ec+cLvRCuKmH285/TdAXKKJ8T/GDcCOHsK0wdjQ86DMdvIbn+mc
i9YBTlZ8KH33LBw7Azwc3NU8SnkuvHzYiLQG7Kn4rC5P+lZTzFYdZv5pNgldBOdqRXBdewCvooX0
quKZmMjwWeJeYmtmvNfZgEUjfbmsKp6UVFFjrbhmAuKcxYWuMxtI7ZWb8gWW7ksPcrarrmEg1Zhn
xZUQRXhgTnAxhSjKR4i1vll9tbucGhWWbWEX9cbLumytTVq2ZprIwcHBr2o3TrSOF20HkTRdEHLA
yG3P0vTQwc1NqgbQSshtMBbh66zguubcnIcKt1vC3Z1qe18asYbyMn7QouwtG3hkTGw0mxpqb+dD
xlAYX85BFuD//A7n5DdfsX6jifvOUvjfikLbJv9ppdWYv8aoKc80c3LODcDBWsIUaBoJFhGKKuz5
S7ieFGl4CMMqiFrow7Ecz8c2Y6SjyMS5n9zGLXezY0fGoc3TeGOHXHHiRgjtmpfrKqxdEOkcJqjD
l6AGgWw1LUcaXmkVL5wvcMUTN6SYyePcp+uq6e19zPVSXOWMdB7wEc11YVunHPSyHup3FKjV2jDH
Y6hYn9a7V7l79y3Xk9E+ZT4tkY3blW4adEMKUZFo0aAfrcIEWhuW6yZNumfhR/F/TTb/0/L//3sN
cSXJ//Oa4LJ9LaOf9A3Ub30vCAyYClgwqDBwRn5kNBjik2EbDrlrrgBKozT+3wsC65NPgC6NckQe
ZI0o8dv3gsD6RIWgfJT8WSV/+2fxANZHLw39B86t/H0So4lOswzxu4KAEcqcSE8PyUs1UE8vecbx
bPDDkzY1+qn0OjVl1OfhxU7jI5b9Zxxv3M1e+gXUoMEWT0d274JsGzeNpacHgA31ZkqZ2gYmLKSH
qAWDhi+ORhoFPVxkLU1czOtM+1/psSZvDMdCjmmlo8pfDo/lhKwunJAkDEmKIz7vTB9RjD1u4ab5
7hFEmr8ChEVXcMB4nCU16tbU4QwwIbrXRIQALIOW4yThuIpN/yvzQzjUs9qMrdTf5gBhVoRBzStE
98d8MC7rpTp1jg7SW14b1oLoxt+HlnbGInkwovgwJSFsZwXTJtIExmA3wn7q7Pistt2dXmtX6dik
N3UoTn0dp4EbQayCHmWclTycganJbDO7oLjaWkvXXjNcTn13qWWTwMLP+jzbxmapWAPJoGOmmIOS
qoPEmttvmdXfJrl+q7tG4QTol8orrcmWc8vOtkVTbyOQfk+McAMPHUwI0ft8tMGVWhUH6C5iN649
yOcQ1EH1rP3ZKuhGOnILxK2nQFtM5nfFDiShj8neZSwMGzPEzb42DeJ9RoQm+6RGYm453bbHyICo
nI4GaxZqHyToPlTj2iQqMiF3b7G2MD5Qwg+1fd/5BmZ4uAjtnIsthWbC+LQIpmFpGUZ69bOD/hY0
meYnOEZAaQfd3Ka7Hx7Fq18cfj8mX9Cr+0G6KVS4hmDWRBIm5FsdMPPHhliqx1LP8P5dmHpcby3C
pF7jWemF5gwbxL9nol/ORHyrf77+UUf17et/uOP7158ci37snhqExLJgcfYxWA3VKvPrscj8ZLMK
Kgu4iiz4cRVkfVSeKd+BmaWzVLGsfl8FvU+4lhxHyXP/P8aCytT1w82iTKIqdJPjEFN7/lMt3B9N
UH7hLX4JSP0yHxPiAYO2qfRjPhn2scRvlAapW9zPaUR1Cb9AAFVYpw76JAnbIC7RtwAivJugHmRi
uh316WwOwYDUMY/zoBAJBI6RrNc/yGK+8GAogLGjJAmJoFYkqWli6DG4waS4Cws1VYHNhEGlTw3v
TzuOTd8sgfxJvmd1KIQDMUPmplVYh0XY2yFNIcwq5AMDp+dZQSC63J43fj8DhoAQYbvDsLIVNIIM
18CqFz2YJaRIBZZoIUzkPK+9Qk4gH1o7ifzsQv9IFZTCMbwvUMqTAFfxk9tgYSZ7FiGmYOqCT4Ws
uic3shFe1ksQSmsbK/yFBTzGVECMsRL7TiEyZntEYQk1Y65CJMHTpa5wGpxsnhMF2CjsbJdB3MAd
U24NBeFoR5wFIqq/Rriu1xOkjrpSnWhlyiBW/M0NzeUC5sNrgvTpxLiVsEzHpMcSuWhphHFjYs5a
20QtBolD87aie7iTMjsZTjNSAnEWxeDQ9lsiP1HueAnFm1dt89nSkbJNxOrFVGKRv8DwQt5yPuti
Wmf0U7eC0IJ1mGOH77mbV0jNYnxRxEHOehJuSr1Du6BX+U74sr81ET0+EFgRrytdkWW7XD8H5w/X
TWbZc9WClsdN4j5xZihuutZormK69QdhtNNZ44dUsnNeHYk4A/WB1Cc9C2VZq4S/6WxoFxDaS6GH
nyeRaIJuptYcSlO/zirf2MSxrO91wtzHXSjwlcKVjr7ZgtNDofJoZE/wfEZEzVyQkNGlHKdHlV/T
tWTnEWhDM5BvXW5Qq58hCnnWVfKN1gwXrcrCCVUqjqeP6N5UUo6nMnNswnNslaLTFDrga5WrQ8AO
0ZDRKlOZO6VK33FVDs9ig46tVDaPp1J6qvfAHjO59az3BB+yfCqV6oP/a3zwCZg8uOgSVrFK/wFD
BB+PQKBJJQORP7ieVFbQv4v5L4s51s4/X8zXb/l/Lrjlf1LPKljG93rWtD7x0NOqwnbBQonB4reV
3MaZatLBsr+jEr/Xsyo+HL4GmeMqnFc3VRX635XcNqhndQ8mIkXtP65nP276gMZo3OObJZAL2r7N
vO7jOt6HQ9rlS4k6FPeSniVnXpQF1jhvfvhmflJbmO86kd+oAnwSJghqy6KbRzI06bEfX4jM2Awz
XyavIBllB8gNwt68g7ESMtwqwNrQRz0sSn116c/DWZPV957ZkqhItEggSV7dZK2RncbWQUcI6z6w
5h6SmAO8N5TtE5j9OihEjM5BuVDjLr+teUEquvyq0hOmwl5J1l1jNkiTR9Z0BiY4HMFMF5NiTpAD
YgAN8x3QRBZQndAdt6bt9OsB0CJODgZInv0IsfzctwfKacN6iu28Cuhg3XKCvtEKmF+ac9EnKPV0
iauLOuvQ+uOFDIuINcS4Z9KNfi8ax7WpRmTDiI1AW2hFD4++aN9A6b5Exfzcqj4SADBEGnNy5bTh
yfWKZAtwc+/6Yct8reUKte195Ub7RDCghFpwYt76uZRxth0LsLvuCJgxr6Z6rQ3KSslJHuLF8mIU
hVq9wXYJFuY5x2hRo3nHJTJ4xn3bRdBpi2EFT/uGsntHNbGndaStmD4WvFELzwMR0UFsOrfaXOdB
wcwu8PwXpNQbHbHmoCwi3WBDDsGLJ1Apcf3SHc2bb2Kmmaa7zjmScVQCJXbhBq2N4c0XJgC2aUbc
I2Mj2UK1vSJTMt1altwthX0eRWG06g175498t7HMOJe4zriuG9BYOHIxVt9UJaJoSOwPicthKyJf
EGVrftvJ4WA4GbI+S/8C6A5NpZwf8iRxSP9doLWQC9PFoJbapf1q5OZXU+ZoaCZjX+X+geAomMdw
gfFVXxeERU9e5Z55Fsg1Ny+/LGn9FHsYhAq3ukPKgv648bK9HJAZejIwrXCLbZKkQ24xKFO2jDfG
FDevZEhE7XYRWj9zSOIYhpMhQ6E8my0zQVs25Vr35NYQUnkk2+mY505Hc8cI9JDGiW19ZeZ8gGez
HRf6aOTR1+MDun2GbJE0mDY5iVKoTEayzlLzYNEIMjBF96pLKJpXBFk3Rqa9CZ/L1CCyAAkW490d
qce6Pphw+jBHNA5a4eBCluOZaNE3aVRYDmRp1IJjoqLk5LObeh0Drfo8SvQw6OoJEZiKFu3O6hSK
aN/tpeyfSM6mxwN4fEx1Elir88zlkbXK7ApZyCnXtAPUDQh1URxvyALAHj8mX105FyuiISzCJI0b
sn53U9W/4QKTnIlwsrr1E7Mh0qsOsd0S+qrtZ9dD1ai/LM6cBV4OoW/OX3L7dpQdnuLhWKOnzRlQ
wugPzC0du9i3e7pK1kYS4DEC/WqNGMnRUo87y0v7rW7gao9G+6W0DYJ3K7kOtbaFUlrvBqO8nCv5
3FbQNJLZfuh7XZxzVrWbO1UeRcJuw31lFkb+d8voH8AhABEMRadkGoJEQyGjfiy7uw79bji78xVA
Q29l78LjdFudH9J+pb2Wj0ANDzhIV+EJOdGwhn9z+OtlXKENPi7ivLzvse+AGIAM9bsjYhsOzqi5
w3I1eq91ePB1+I7TC1kpvxwP/xSQ8rPXMdFleBxEyd/Qf0/66NmzEiJer4zkLKaGzvM3PzpIMHB/
/Xk+7n5qU3r/PtkDDd3wSLT6+HU2tKidAc77leucWhdELU1L+/GvX8P+2TX78cP87kWGWNc7E3jt
FT6AB6TGm3GvfxVrQcDJecE9trppN0zOt+b+/kKs89XFCETnoduEm+v0KFd7ivszZueraF1t+X/z
8Nfvz1Rf5u8vqk3QpcewHznpO4H5B75OTkw9ujzduEKTchFe6xv93HiMjiad72BYz6vjs7Gbgotm
K/dAUYoTSsVrXPVbgMPB+1v5tytqcE/8eSGJchQSwtf+jx0B9Xs/1JEMM3Ul7f0lAOlDHUlDADmV
o9MzeMfa/rcvSrEIwo0bHZgK7QDD5An4XkcyeNUN06Yoc//rF/4Hg9KPT5KqI813tpCBrMWkXfG7
hakfcLN7lSOvBv1IIy2db6rub/pTvxSjH+9U+g667SMDowPM5/34uML+t9I06+orS1KydWgjOhbp
2DJL6ypmADWqkmLKrhe4puIijmPvqY08M7sWukPOEnRdk7NhDZqoOjQxgcNhvnGtBMojDc9hseBq
5lehoxE7oR3mzsemX932OvvVHNNybLybKen2hJVybi7IM096Y+3YzZFg4ktNZJ/zOXvVAGkMdX0A
KPDEPA6bSxJfRn23EWZ+8GLipI2p/dYOHgHSiVznje0hSIYgqrFdrAi03jcjet7BQ98k9o3VYb8v
nyJXP+g+O6ll1EeI4G95hyQrnOxVPRdvYc20RRQ1+Y06TdKma7fIVs+g7cs1WhGwNIQJUMDqn6eu
PFq2VqwNu7wbjegYmuZ9O6HUMZP+MSvmLohn+aVz7eNst+W2SevzMp7k2m88i05H6ARh1d62CUgN
z676TTRb50XEptp31nUuke4u4/CkpRYndhK2HdMDu2H231IPlrpIzIo+asVhwz55srUZs4IDzrMm
3bs6hBU8dVEwpQNJNbWJ3HUUBKjUy6OB3M7icq6qQbtxJICuwszvZOEzvxLZs9aQBmPK+uDTVrrI
e2kEsZYdO41YG91AJ2OI6Czqv1ikd/n0jZJCggOdGpxLefkYLkBqwkZgxIyMYyvAifajt1s850ud
QIGRc8uo3/4iOpB8Ik2+iYIZeWSLZd30/l3UuN/sRAZ6k7wlDQpBo0v3sUnEo0HXp4qKq9HsPhtp
qgetjV2a08UhTzKcsmO/TQQBKoNF0WB3vdzYmu4TFDFcDb52P0YDRI+8Rw0btxs83bfR1DfryouG
oAytTW4DXhgjj144188X6a2J4I48YaxC/viY6Qtesdn9lpKQ5RiZmsdR5lhTxiAtjLPzssjbIEqT
OmBduY9IIy9tpybp0bqMcs9bx1UsuVmnlzHNuXtkwyBV8n143vKcuSElL1yNMS3fbFhC27HV77Mo
x7/DiG/SVJBw1OPr1L71mngGCMN8NIsDzzJw608hud7AUNzKZN49Z4f6vVgi06MJyc7Bys2pq7lz
IrmsYHFwl/t5dp/pln9wlim9ci151zTmXlvqNximhySrc6bk9Vejb1SrHl7S0OMyzSRWgDZJH227
h8YR5kHnPqBNm3Yz0VxnhSL+a9pNO6R+QW8yb0B+FOjqR8bzmsdcpQXVFnS54wD1A3eB0nKqrHPk
aUXgYS3VYK7UPJtqGHzRVd5TLJy3RJ+aFctag1vc2BZ5DVCJ7DJhv2rTcJJ9wqR9eI4Gm3nlYt20
pbFhPn1Tkd0jDe0GNsra1aIHM3OfO6SnlaGffEkejieuZjDyS9dvySUj8H7+iokpR9ifrrOuzzYg
P4KMubHXtSRB4n5t6/HCQ5fdNoijmH6uoQfIVeVjX0uRnISadjn37UNBTMomNLu3jpBKs5kete7N
GbgTR9fbWjasoSBECF6s/FAiZUyHWdM2+jh7D140Trumac0gjZAJOKLu64sMwUhR2YygF5IexzKi
Q5iybq2yyq7nVQFsatfPDHoEUUErYRUPWdNt214+SZk/dI32rBetda0PznLFhtds27x5bUzjELfW
1ykUlw3hPH7uR4o2Q5wIXth10owC8G2ebIul8O/sQsznURHfJlH0GRe+FshsyE8tBipsJD01con/
2u7j59LkKsr4Lkkqcvss7TiM3dOA3BL7LQFIoTr31Ly/1Ziw9wR+xhpArIO77oZ6udRQ7ty5KVbm
GTz2JmpJyOQp7x5Dvxuwo3rAv8tBrJu8X9suYNPR6CWJWrC9rKKad7LUY8ZUeFUQQGKWzBNnL2ku
77tsvKLbe8PQTJm2duloj6tKC4lnha2wuMZdDWCgNabbyGndAz2JJ+KWUJFES3jxQy3yk9bNH8tD
naMg83FXIA1GdvVx03WJIKTb0wxXFfpB17hMxZ3LuyYOCx3T39TKH6uI9yaREK5BpqIF5I2K/ONr
dWT/9Kbs5JUIAZc/NPM21v6m3P27l1A//6HaxYqU53LI5VXNg0lO8CoeX+z69q+/s5++iO9zgKG2
MkxVdf34Il1Mcz4tpbyy2rumOps00kv/5ij2x8ui+om/vYQ6Qv3wOXqczZFhT/LKFrdFs10KDFLy
svRe0/lvXkmdTz5WXR9fSb2TH16J9DancBHCXDVIP40ShIN5HFC+j5uxOC7F8jdnsj+e/QxBx9NB
Dsj0C9LNx5fro3Ra2t6QgI2eDAasnnsXxae5eHq/RP+eNdRh+c/PGpv8P+uqff36M8wQv/j9sEEq
EKFfRJlbNl26j+NHAxGGqRPvYypotbo+30UY/ieVWkGX27RVy1pZLr6PH5Vg00T87RCdjaDvn6ky
7fcH6Ld7kvEjIg8EGJw7LFYJ/u7Hm6SJwsnRjJGgdbt6kCppeSRyWaPNjq2ga6+0ReUx05h7cuy6
D3yVGdp7PO2igIHYaWN5XCLYidlC6aoT9Iz8ykOYLBgVGibZcgr/UiQL20sLFrG3hwpBuz8GDbA7
JFjLLaGEjCQnETOK9O59ihA6WOXWXVA9eE51ZLGL9i3h1H0yPUJVUCDB+ratYqQVWuLvDT36Uto0
3Sz9BEvvotJjpkMq/VpvU2M7O2yYNaCfXCa7WWVlV4Rmo9x7DnsT9Cn2/5hYbX2M8i0VKEWkpAxx
J+ezy5hz36s87nZy5q1fTW9u5b55wk/XIPaIHGjGc3+yngAPl8d6yEkvJerbHAFkqOxv3uYXvywu
MSmwOY9eoMWkwz5M+NM2pm7sMoOsHYdgHYhp26iCLBaiMluc4s3Njc2kQniqvN6RPvbVa+WNdLNo
z8xSYOADcJ2RG7ZOsS5vBm269EDxw1MxHxIif0aV/WObRoWJmmyBUiUDpUQE5aM8WG7/UqjsoMaC
1EL25+WicoWEPj+IHKDf1dQxeKv7aYEHR/vNP4u1+tsyxJBaOIVtunSwsX9Sb9hLPu2KBG1sk6T+
oW7m+NrKzHvYaORyz2jETRETqZL9P/bObDlu5Oy2r3JeAAogASSAy1NzFcniPEg3CJISMSMxT0//
r5Qst9RtO6Lv2+HwpKhuughkfsPea9ufFxPmCFVP0D/0Mo/OmCSr00JxEkA4zA7cwNsxNe8sNIEM
NH00johD8cUnT1o0Cuav91e2gVDNjuADVbKaNq7CJmAY6iZKQ5AaLZY/aT54BsvvMSXNvmcJk8uT
05d8xSyjw3R6rtzkq2cXl6GRQj+2auL3GuzkntG/ApxCGujYn0nT/MIon+CpyNvPgaPYpadgp5Cc
eqrdICTZGQJSTL34u7nMNlPqbco8u5Shd2X18CT8GcwCJhwzVz4RKj5kGXeGmJfhVBqM9N2SxgvC
LNSy010ed5fzYDygRP7SMZpjIRGs6t64qKfmbNrh41SmF/NY8NsKxVNUYLKMm/AhnDwQX3xDlYic
nV0xI8/84FwKwpG98ZGLlGiEKE8JWGd87yXmG+EYd2OTniNtSwmJIvG94Xq0nDt75v9LESa3TWsd
pU9aMrxwjQnq5XhRGe5bNHdPejUSlS40UPc6TpaDjaWgMhOWK+384va+v08j2CNZgm2WYw5KSw2c
IwBwQGMNE31ImpemLU52MFxltjjG5vIERsbn+wjtdW2Px6pxkzUPLKBRI7+DxvlW2UVw8LIc2Y70
98BKaNOSzt+GndJJGtBfaXwOi4NoOa2K9AgcZj215MQLGit94nJKWVB4nOFG9SaSzrozd5BfbiMT
JZiFS9XkK+BMurVn+Dx98O5KrMOVJx+FdNA51SlhF9AjhxkIldJHXBND2IjMexGU8ENiZMNVS8oi
6NcAT8+hQGtr5R3a6aKTa8nz1i/RvWU6b16BUTgS/hUtZbiPIsPYsSu8szwArnWUWetZeG8i8bKt
VeYEgslqO9vGsioSQT62P+8yCIVNt4T3ab2Q3thYD2UylISoecl7FRtnqYZhq1rOiCR5HuPhGqLa
oXD9j4Vx+7ZDTg760wTFWleIploXGRs7uuK5gHEbXS0CRVonBwUpzb1w/eYh0MHvjY6AXxb1hYhb
zFDOYK86cuLDgQh4b2jfEIvV66VvbpwkP8eRdW2TMT+RNW/p0HkCgE85sShg1XNaSPeWjPkrmnFk
HDqyPiW73ifDHgoHQxUda++CnGdr0D/YJN4nIRoYlT6lA7aajLwofprlJcimq7aenwoXZ9OY3vA8
8CVM/WORWWcixs1VpyGyg1kCt0LEPgXdfWmTPwo4yZzSC8ecHkuBtsVxb2TUbqoA7JvPf5ic2Nt4
uWQF5DpcchLVQJJi1ilN0dHYSoJrq0NZl4cm7ZaVh3spAiLGSWTPK9ciL0RaYb6XVXpcFt88Gtl4
LFMZQ+hBtQ1oWBzBgyYbsmP7LWyWEoAbxKGRqRakOFaSAsvwP1XZDykBbdN/r8r2+bey/Ov4V/da
PysyYX0iNAHqgxeAgvhedv0iCAsYH/BPdvnElNE1/VGRUSbh9P5Zkv0hI7ADZAQE3Af8C8sP7a75
G+NfbL1UXL9VZJh8Ke34a/q+43w36/zaJZSY58TU+8G1wA6IvNRaKoRY2vtvG0S0bt24aMMvHHHN
LUIuSAGFhgYs0ANkGlw2ZZDBFcresKGdZqhSg+jwfDnkFa0qO580J2E5lpNdb/shuIVn+AGAldDv
xoebJBjECLa+CVC7em9CTfWhp06VcTCS/M1twPV6qbqM0vE208BV2TWbCBejZxLGBxcRrvC4Btpr
8PrMe+QSZwEqKxG0uKMGuvbmfCA/viFn23pLYb5O9eAeG997qaDBLs34DjjnCnJD7mrusPwcYD/o
NESWGuFbM/ubTONlU/RllAcgZxfOUraV5VoM1qGGSjtoPO2oQbWZbTTMKIDXmjbZwT1iuU2rlmfQ
kle+xt2C8Cc0WCNwBezI2AEwbffRrtGYXItx9zaFnOtD0KWkZSCuoboWdN0Cyi66N/Bw6nrS+F2j
CN1doZG8IMiPo4b0EpcGLozF78Yc9bxBw3yr7/FPRoExGdJvBfG3cLNji68HrXD6dS4Gf2VqPHCj
QmoxlqV2RBi56PFmWtZHJ4yTBVsY/dRlqmHDocYOD98BxBpFrDSUeNZ44glO8QKvuDDK8YXf50Xn
flkKeeUQt4k/gXYwPZkyvB81+LgBIdJu2I/W8aUhyh7eUZIhU67yXMW4CLoswJ0Qud4xb30HNNAQ
7xPfZ1sOViS4EuAITl6mhr0AknPke6nwj5pJtSd7MrgPQf4iof7uca0V3MhBG1+57Z18k2s7rDXr
katXNuLSI57i2VfSZxgJ2OKf4/D7cWgh//nvx+GxqL41yWv+1xNRf+7niWg57LbYglOmfD/1OJF+
noiWRAhLd8ph9N0EyKd+noj2J8e2PZMNFR/8oZ792aOKT2i0INeihP6XUuvvnIj270MgbRRwHYS4
sBQExyJZuL/3qF5cN+Vk1PPVZFf4j6wM0s9V5SFP+jCXpXTZB3RmxwjaBqW5HJTMshFP9ZQyZpNO
dhcKAFc+VdChsQZvXtlSvEfoCtcqCF/RQt1nYVbczBl6mHqRYme7FjFyjtleKSk/SB5nLFwg8bRK
EPNwC6GgtBi6OjmSUVRY7uUCZOpolHnHTgrAIwFqEjVLmkbNuYItxMgzuKReyC6oLMpNW43zDvWV
zirK6LLQGa2RNYFRBfl7dob5lLnJpa+68KJI8myXGYARsM8LnwWQxEee0Y1OgRdviGrHHcYiYm1l
3wNuGdvWfo/sxTE+54wYKzmVJy/uHywZm0zkgZsBUavwCMzGuUnl+1gyja6VZ+0RuX4safoFUhpV
rTNYxXEMwdJUTjo/NgW5vvirryIoNMc+Tr910SI+s5sBngrOFwV+Xm+8Nqcc542G8xKUBE8aobWV
o2mcnGoyL92k7PYJkiciZ3t52XjerY+17J51HdFu84NR4WFUTunsTV/dehIbEjItfJUmQT6xYtW4
ZJ5m8I3cG3NmXFpxT/c2N7H7eagiKLWmnV104Wx1ewD2MwfLgsW+uY753Q1kKyRXs8ViaWVEFpQB
2j1zDNZ+YMBu8QMyi9CCG2TKd7MgvrDPkyMRCMupGcrgOqENqFdq8VG/BHwJ4XUAWA6wG+GXgxVk
lwLGrhUVyz16Y4zt/5xeP04v8T9Pr3L+D9M1ncT175PL/SRxK6GHdPw/QbyxOKEVZXpGvIhnodr7
4+TCFyUp/TypHUgBRdYf0zX3k4cJ2vUxNzFh+9u13O+KFUSneKtt/TPgPsXrZP9p4mvHeWVFg9ed
i0zGO6XyZDOpgoXnLTKxBW5iEsTEz26deDBjuoIhG7eu1QmLLkHM5bh25sTOL2o/qedrpjOu5678
fnQb5hOTrIHju3lsQ7NiBcmb4eQJqB8jTAexMcJAlV+WRvbOjdf3QVNuPCIBnAtgFGM7rS2jTttX
b8F+u9D94dmFpzg1Q0A41RA3+7Stgqu4NuNjRI7Kqh5H57FWELZ8Wqy6VySkOFnK/rseh4tkBngM
ebs8e3nW30FXGt/M0nUrhmBx9DY4zbTLW7O4TGSm2Leq8JwarrNjIBIfqNVR7/ijPd9angiPMD4J
bi298WzR/20aKNNq9EnsnIRoXiH2t+u8Ay65jkGUHmNIBA+gSIBRxqX77i95sB/ifGRNjaCV3nWf
G4595y9mvp00hjvvzckBEkuF5nYdbGdpzueGWeEuQ8JL0rUFE7FtGZKhEYDQtgxEdYUmHZpVoWAN
glh8sZdquYmXJcVJLHrxlrHIvOjrNjrOlFMv2JZs3JICMXDFdm3xi/6677N3vtLyWOMaurfaxMzX
KcrlK4ecsJXrqfg8AxLbRLObnN2kbfdBkDfblDDd81KzzirqkrXZDH0tpjB8h0GZX9I0t099oXps
qCn5tUYiIEdYOVzsGFoE4drMOqZa3rK1Nnacfe2NnZBzivNNXaAYGy7aNjsBaF1QNBr+rnbn6WN0
SBP1qyI6TSpx+NlSz7gCZmGeiqRFqatmMNVdxxFez365ryLQ1Q7TyNXkNqwZFhGEp7wx5BPt/jPT
WHEpDL+65scPd0aGDrVVAoJt05jX8xKjyoTadYwSoKSKGR874Wq+ixt/xM881ts56eFJDEu4axkZ
R/+crD/Co9z/WRc+oCtJuvmvZaH+2M/DVWh7FMNCxOwAG6TeT/wsC5HiS8F59v2IpFz7V02oFfUS
1RQufvHjaP3jZA0+8b/zPFMv/gu0+DdqQsiJf+2SSSpmvRXwb/wonOG/dslGWXD+1W1xU1qVwyMl
ekIX5z4xC0bI88iUZ5oGOiriXd/rofiyqCXew6i+d5BsMKd/mwdkxFXPaoFZYl0hbO98yDy9453N
zqrZgRO4rCqEQUgsho0bzaz0K4kdpIoQqIeZjhYmxydU1+3cfTUk1H83GL86laG2sQI8GtDLQU2+
mJiU41lMrzTCtzEVSoTYXkiylQO9LX9GCUMKMJOupm/eBiiyS5HNe1P4b8Zk7eKxszB/RQePe6Rc
MsauWRyC5hk/j77xmHczB0lm3dtu9xKxfd4HvMmwb2x5HXEuM9QLOnjoGcqXOXpFcwL10IUMQ5d9
S6rStQLyin5X3CPs1ITs5HYSvOqm+w0K9J6G/rV1kgtHIAduQPRPvrhoGKzBIjkUZvPS28lRTT1J
u1n0olr5EhApMSpKUPu9DYL3RrTXzZI8u2p6zxy/2AjwHhsmNDcGPyzYofFQQGBdpR1ipAWV/W7O
kntGwOe+Ms6LXYcck8zjZkGmklv7xTFF+MLUDc/QaDo3hjtyQbYo25mie3jurYs0ltE+NXq5q6Oc
O6wHCNtOj7I10GLW5D163clXIB7MoLiuZocIxgyeV1OVYj8jK/BBvTK662Os87mP6D5uNqmJzVgO
IUqsXuC6y/lTbxaHBuhl6Hu7POlvpNljL+PWNoyg3jcgQbixfFKBsqNw8WVMHeQkTkoWV2YDNMBt
1o0wwj0vWrgeIVOyBUdstyD76Zq31GjusLLdjJF5jFKPwDGR7p2UjEvM+oGmRmWLfOyAlJhF9NQi
65amQLeyIA1ze6kzjIN45/fLCwz3ivlzdQq96tno+3aTt+OjERDnzUfz7ZIb9dYesvvZEDMhq5JL
w1IfRWsU60RVV84cXGcOmv+OWImVr8g9moZxO/mTuvbGIuJdafxNqhKxDrPgQNYI+0CAI69diE/K
bKsQ/EirBVvpc58xaE0e7Q6Nnh8k4D2tGprF0K+hH3T7siXU2x2b6jBZcD9sZV7M1XjllMayKVJS
uhj43LKHirdzWS8bTxRnZFIleaATajQbEuoULcdwUq8ZJnL9rN079smYPzITraERNXcKrb09T+kG
FdzWZ+nJJvYDBTWmSc/5aBbzc9AGl+aYnys2OXpzu3JbI95KFjaruajvYki1OXw5JGFHXy2smEDr
N9aEaW9i++S3zrrx5w/RNl+IDboYVXebV8ZVN6TZjg5oszDFZhNCBWZicHfLUazSPjNxSsd4Irvu
o2JGRJA7PJt88l6TuvlC+WuuWkXilVBIoqbRl5CdIVYwyvfRBDkvnLo1TnPyPIdcvneQBEFcQvPn
QL7AtUYMXdv3u3gZTl2Itg2DxJ2Mp9c0cRn1OBnXcd3m2yrqrHXr1AdZyA0RGyAc4um+c2tsJWm5
zSf6aELnxbYs3YaXTvFK+PIKWH26VVN4VjkbKqcPp7VHHBUUvmtVBfdB6BzsafbXsmR10M85WR/k
iURWvYs6P39pRiBvIf4IA5ohESD6xXbTZ8Tz3UoOY7bjWHXW5KK9TaWSK5JedsNYnjjQ72ZHDYca
OSqkvh7a2cDcHsvGgBhiH5vQVwdk/isXW0nol6c4lA66rvyyjYfbBGQPAPxiFSY2rBXGZ9syyvns
MNy7MvWBrfVvrcKEHlQNSWqliFnq1AasfuMjcCzui7hJMFsat7QxbwjpyLDLPeywhW+s84kZGjkB
5dkkr42RHhIM4CXrDq8QjOiJjTfBt6sYpuJGcWa7VWnu0sTsdnTTb32QPKuKBwl0xm7uIgaP/MqR
o1L8jbiqsFGY0Q79MN/pkOCKtcdDEDnE4sbgdWxFCG7vDI/xDJyaO3HdpayBE7cFgu8BrsNCyuPm
wy+i4OWJxXl8WRnLuCEW8YpkXYURjJ1iZEIPNDL56BLv25TzV1e5N2lUfZv0Vrl10hcpcY6NDWZg
2ZeXFlT6s+cuV9z/rIhIRsN3cQQw09DGCG36NNVLnaf5sV3qR1vw4uel/WzMznWXdF/HOt8FYfrI
ZW9egM4jjQPjV5tE115SPwDIOdgG3FUvxvyZ96pfzQ5+UBeGHSPzlRocBKYNbibhee9Q+Y0N+kOY
k6padrPy76ywqLdw+AhyX6YSdAtuuSHvw6PZzK/S4GHo4kHsssx/AEZEPxIaJ0Rvrw0LXsDNdB9p
tVe14vNedQMkykL/hxMIFOB7lU54obvkM5NPjyxJeWP28knBaAirfDoskf2RmqPHGWv1TBmaeOtP
ZbyTIHVovdpsRb4Ij19qdSRaz6yAF+uzbIczxiI01RW/2Mbg1I6JEdqk3jyupZG+EuJ0lSVjvO5I
N1ijdb5IBnSoTtfs5wUZdG+76bo3s0MaYfxLfORuZod6uRYkDyiYwluSQ7/C4JrwguOjGiwcyKrA
VaeQ9CkEHZyq8rlAHQW2F71yURsPcTM+NgGEwzKBPDfmJOARMhT1fsfWQNUbgbgWd3K9DZHb9lp3
W5jBo4MQN0LTvLa1NrcgugEtHu+TjXB3ioDOCaS8BpUTLyTq3hGZb4XcdxLc51r/ayIErqU5QulK
vo1kjxuV/JCm8WDYaIc9rSLOggzyBJpCkYv3AaFxwE0OdtR9bwdvz1Cs2ZSIksPSLjeB1ilPMnuO
iqJds2sXax8xc2oUuyh8M5E4Uxg4K8bdkPz69FS5jbWumG2fRaKOodZI+4ilIzyTq2JMH6yGPWSF
oNorArkSSKwdsh8mai7asIUxX6XKba0V2bMLp6/QKu1a67V9rdxWSLh9pNy+P7Pr1Opu3rsPKdB7
88zQ+2T2zkQKXqH6YP1vAbxEasOzcGXLpNuWbkpiXlbdS60pxy5qU15OnNMNlGytPG+QoFt+955q
TbqFOL3WKvWiNx8XooimOX8QWsc+ImhXCNuHYdHNeAmXX6veMUBfVsjgS62HN2cI94HWyHcy/RZQ
G8cDepwKGf1SEKyhdfVRsxwFQvskZXOD9r7SIvyWKs/LOPpiLdCPYaftmYXwQ6LeJ+7pg2615gye
PtsFNZ8W+yeo/rFuHkNcAHFWvoa4AtKuv3ZwCRTaLhDhGyDYgJvSrkkFx1GAs2Bywa+EeA0mPAeV
ExwDPAiEzNx02pOgzQmzHW9j3ApJM1w2jBR7VNu5a2KHb1MSB+rvLoe8XOTL/N37UBvukN3mbkea
4ow+oncr4x/X948eVJOK//tu4i4BatgmX7/9tQvVH/zZherlBO2dcPSYF9nsH00ofCOQD8Jnkcsw
MdBW8Z+7CeeTqYONUcDKgC3F7xAjRHA+sX8S/tF3ad3f6EODv64m2JzQGpPUR0OMpej3NjQWGt3R
2+KKG76uvEuDu1V7CByzLcxN4KQZkR3CzmDph5z9yYh+yJpnikpM1+61n5v5da+YPY/FZBxdt7Sv
+syYNxyB5UURBsU9Ap3xup+c6pKOXr13EdQzUYzZPWaB5sJRaVCuu8n7ForEOSgHxr2VNi4hYGxD
v+CYMwNoX0S4NGO1coJ8nwlr3Cx56fKmSwi7drKArJAEtAdsNBErUJijY4aWI7EXiBTMmJnSB8Re
dlMUffgg0oAkY3Q68b2ZQvVo97ln1ctxqWJcqw1YKfzLTCRpOCB/cHLBYAVGxTFO5K2aXzEmDbdN
gyvXXKlGOBsGoIN5lqgntoWb1OmjkSKCW9VD5nl0UCAouNhtfKzuMNdfMvYvR2dApbswYNswwFw1
1Xzyu4rkaI1yMocmcC+GCspT+B34RMgK7pXvGCij1kioOSltez9jLznOMfOMjVqcu8XiojiIAbKU
AjHVpXl8qmRoU86kdXf0mcEOd0vqoyhsXAJ11jEP5nhVBPlcGvt/5v0/5v28H//9RLj41vwH7YbF
Z/59GPDKW5IJEqnh/xrq/3skZX6CvkCWB+mbkikUW4KfpwFD/cDHT2cxfWK6ry11PzeVDvP+AAWs
Byzh+3nwd7Qbnn7bf5NuMCUTMFhZw+G45UH+/TTwrCoyrXjpzl7roV9E94bSLhY56C0nAKHsvzKn
GJk2kRZNWkfqGKei9XtC4rxEpJ8TQZjcdRyqvj6yrIdblfbpaG7R4fXeTYVLabwpx+pc2VnyQPoT
Qy4GSR5iqqVllRanX+zcZbVQAuWuzJAtQoSVgQSDUi8ehLOQvfx9hlrDLOuPTmgUyOqszsvbz0WM
Yq0Cqr4IgqTsXrZJCxptSqxTUYyLuo8WVm4Y7MIUpxG++31gR0g7eM9JEerkplFjujeyud6OdWiB
QZbWdpzqZW9msnkCRNNbhyyY5bK1236ONrMIlmmb9zQN7HJDA+EBBSDJe9Uir/q5jdWmEkreJ1I2
CEI9TgdJob+3qjjr7jM7RzxKOEp+zQkRi33t8d9natCXZXQCmnmEdRRGU6y8IzGbtrn95xX9/oqK
/6mvuslf3781f72x9ad+vqRC+2EFyiWJr/3Hvfzvl9T6BLcF4D97d/cHVuvnS4qKypK2RrQEroOO
itv850vKJs+yXJTweOY5juF0/Y0rmwXfn99SCB+W5QsOBQwlji42fh0dkxAwOB1n93U3DRn9Uvas
BjAdWkOJF+q6sOr0HbRdyYDHfrA7ggkH2wjvfW/8IIFzJ6TrrBatz4yQFZlasVl4TNGSJnxrtJpz
yr1mNfTlHddttDcDFe7HIbzytQo0rrw3Jqb3clieY60TFVoxKir6ERUXB7b4J1urSgutL7URmoJa
uufvtWEIjAJ17GlwtCo19ft0zcV5hT7n0dHKVcavX9OWdRKSVtOZrmMQGOz1yWxF9CooBHYOInSc
RoPuq9TW1xpZlGYwv3I8cJHWetZru+4BKWpV7UhelqV1tgQJtMRNor3t58re2lm4l1qXq7RCN6yc
B6bBqGSDTW/b275qzVWt1bxJQcaRRa5fp5W+EF+f3OBrocJNI1Bxogb2hu6lN8norVJWcSBRBmZD
Yc7Ip49X7jR/G0w09Ja382zsBoEZP0UW1T3T7XXu40JwGqjMqJFT4V0jujrrhIlINU8K1XLfzxeA
nDmPlo1mp5AreOzD7FZouXPkyjufbyhMvAiOWLMb8/zcoJCWKKWzaYGDiuKFsgcZdYCeukBXnaKv
Flpo3Q2ls6t6q4XX4F1YeLiA4IIxWcynBHvnakSxvaDcrlBw0xJeRFrS3aLtRsb/ZULrXdn95YT2
uwvkzkQL3qMJzwm1WLlaJt5UkbdatHRckIPkMYE0taic6+OKX9PlyDACFuUmdD6sComcVqLrkhIe
dMsBn9wrxOoMrxR4HIy3KeviplRfbJR0tla4l/P06vSEzPGQE0GscxJQ2F5aQ/415IkMGhs3LQRu
sqFPRDIgpem+ElaK1Dm2H1xE9hHIxRXpGzeWCcbNyoZpA/AfsbAxpxtD6/RnEi2otrKntONLWkqD
oVPcsiwuxB1ui21QFeSpauk/o15G0tEYnUWPLaL9nNdHqND254KpktIGgjiC5Lh0ziOI3phQiiY4
hhmCFWa4094Z2PiYPaPBvrbS7awtCgleBTcdu+BytGqSmMI4TOdtR8e9PA4EluowenIpcQmGmXOP
95fe1Ijsp4S5OosSbCCBi1EWi+2EhXcTjAPZQzSyxDDsmUO3G5Kb/E03NvkpQbG4LQYULqTdflaD
m27BP1SrPOaRLsdOruKJXGWSvdcQfjeRH0z3fsXgT8Xx9RQvXwW70qSO/E2S1Dtz7Dd9VuCNJwZ7
W0o/3mR+hMzcO0+OwwQhWS+m/5y4JaA7Ijc7n/FR1x0Z66wacr/zSd2wgtgRedmtF6O9YHwI8HTo
Tk5cRuc8mx4zh8t0tq09A8lzmzY3U90/BszrG5tNRRSOb5jVn5TCc2p62NhDFDK5TR1eL8tOjsmT
G9Pwq4X0AN+2oDENpBCONt6DOGdeThi5bYn1lKACrTv3c2WwRhC1sW3s7GNm4Fel3lNVJ0yLnTfC
AYk2Lbxr2QUn2aP7d+oY9HQ9EoDSRYYG9Lwh2b7zRXnJL48AwXQZ0Z97jwyoRt4Qu1u7ox9vGV1t
5GI4AKcCKPAZtu6Ol2nm1YOgfm5jgcSSbRfZC3dpzykgrBOLrgtQfpeZy7yMPrJb5dpWFA4F+RgJ
boveQ/LlFIQ/hln3zaCiw21Qp7uOweyqqsxzGQbGlukhgeSlhQEqfDXm4jLOlkdjtgUr9/mdGNT0
foawiMRyPDDMxWcx04d5Uf0OThzZaIPuSxXlI9b1i7iq3pOFYLFImAUDyOZglAJuF6HAYcVvI/dC
ghsAjfshWFM5Hr2CrUooe0ze3A5V9x6I0YH3nPOstQUSkVVuRkZzakxrhqPFzGgLBrjdtWHXBl9E
0Xbe1T8V0Y+mhd3y/2hakjJq/1oQWXzoZ0GEBxA4iEt3ws7lhxTp3wWRSdmDTgiXLiFKgvHCz3pI
UinxDw89ki/1pOKPekiLlOhjPHKfXI8F1N8SnHtUan9qWpBxMg8hlgEOHmvZ38shK7Q7wFeeewaQ
bjePIoCoTLTnXFisyIwepx866eSq9TMbFKac0IWP+a1p2OvAtPOCRenUsWIA5EzAgC9bcOiqWTaz
N9gue+eWFqNtw9MIBxeCfa6W7FYV2XM1FnfULV/Yc3XADOwzaSJsAkuXibc3wUer4zflIUEWDLqR
63DJzCbr567fM2bM1oXIGJPY7X1shS/oaqr4Qpkp8LI8JiP9KYNcvi5I6N0PbkNCOvh3jxWh6ueu
vHKMWR5mrsrESUIMUfkINx+qXVgO1ZuAEB8NqYSyycLGqspdO0GlUAVD29Q4cFqTT9OUb6YNODjH
wQRWsnhMIuNdXFXlfKUcXGG2x9eTLxRWefhg1f5toUwilIZ9utxanXwch/ZZ+kDhyd4O/nkRf8wT
dU/w31/Ey9e2/faf5gd86pc3kYAUXjeoWxggf5O0oF3R/7NPg8Hg8Jf5AaoW9qXIwDDJ8q4CEv7j
VQw+eaYn+Svi5+d9Bb/+N1oT9IV/fhdBCtM5udC6EN1gKfn9XRz6YDJ4x8brmSfb28ZDCLy798j5
jeYkJoA4vOiWLLK3czoM2ZPVW5gaGHsk3bFaIFpPg1yyyxaEwrJNJ9Et2ESrUmF0LG3pvk8olhmY
s8/UMYgNSVBo+w6TtKLgIzALq7uf25Zhf5d4DrcLWQjBJq/UKIFBGrpFr2UkWGg02UhRuihs8yuv
Z+29LQRz/63jWXg6dGQzCrPM2rN9YhHbDJHjPuYW9ldq+YaMEKuCyiqd7lAZw3yY7LlPP0bbn3ZR
ik5vG0Up4z0syFSAxMGfjNDP3xLsIJsALh9BDNU8bI0cVSIxnLQGMcJts6DQ5FVnrOkiFVyWAjaG
ObO3c2swwe4cf8jRgFRZ+h8EwlFSFVGx9Sr+DN4ct/HQkxnsqfEijrAE+zp7KkoIVEDUDfCuMXjh
PdaCAkdEsylQBlN3GaxRtVYckL15IPGCuDYwua+WrwV4i4pOVWPkN44GwEN0DvZ+VX7LvMXd27kd
bTGEOHt0G8nWJDiBdDvSHxy3z28yk70ZVRrqfhbaRV2PW9/AGhv59reYCOMDJxqPxYAgpoicesue
04MIabxVGWZtueQ91HvFBhwqvTeG4b4SYDK9Ih3azdhg9ss7cleUKtoTxvB0I4w4veJnpp8iv/WU
jcM66VPUE3Ab2RiP820QhO5+DFSxbXWZrcaCmPvGASPfh6RDLw0/pm+/5GUmOLjTaNU0KBbYIhOg
DEOQ+nWoVz3EDd1Z1LcgcpBwR2N367GHWS2zVYN3msHXIA3Md4sZTFuA/CNL5gmkv+X1VDY4BsOp
zA5WTsw0Y6ji8E/98qN++Z8cg0vV/r//T5ZE/u0/VTG/kgyYvWJNY3gjuL1Mhz/6WcWgtQ5QYLuO
xwYExsEvs1fnE+o8vSGhGPDh8P4yexXfx7Icq64Age5yuv+Ns/MvixiNMWDiamuerw+z/feTM/U9
UtnKID33xXZxPTzje6d+/uU+ufkxyP2V6y/+xN5lYMXfBRcKeD82UoRj8B38OjqqQ9Ir3cVNz51K
k3yjfBOgf4AvbR3aItumdks28iws4L8kMfQ6kyFfwouBlMY7s4pv8wQvsxsnl6NpksdikelgESO8
yq3EXJsEPoyiOPZDfJXoZITeujSX8badxVVNUMTU2NdMlE9mmgH/0VkSKeKSnaePF3iSM8G/wVfA
qCN8KAYlaQdrF0/VR6ITKjhhcNHBnQTsEPL5SWdZzDSb8jQaS7EPx8nbdEaL4zAQiB36hVsj60q8
NcJ5Cu3A23u5a9M5YOE1II7sEzOL5Tbu6yrf0q0zRYN2y440w+MXBVWYHi2b3PjVYPtnObcziXA9
x9ZEbxuvOruy/adF1BJwm8j3jbFId2+pEdQR4AguXXK93KKbw5UJoOIa3rBxxV+/2rQJW3LNf1JG
ufcJpdvInuhGVNn5pvH85GDnTnbqET37N/z9WvuLO0deeyFmNSiuUftOeY073cSWblSjObgIGumd
YIRFn9kZOs+DFzO1z2esHF3ZO2i8ADismSSOy8HnRpbs59vgUSlab8nMemv0prMR1RSTQZyNrJCj
+TgIF/lG36Nv4zu/RAnUvrbkkU7zAAMPDeUqqJOjAaxry56Dahc2wx3At1Nqzvk2UFZwhxAcXmoa
Jxt/RsinKujmU+aAtifiok6e/cJFMrUUw0bWybJtOsrklsUEM/wpOUmQDVsPmPq+6/6PvTNZjtzI
suivtPUeMszDojcBBGJmMDiTGxjJZGJyzDO+vg9SLVUmlcoy9bo2VTKlkmBEeLj7e+/ec4Xi5oiw
KIZ7FTpu1WxMrd8Oeg6abFSbS0gWIidMdiLdl5yhJvczcs30wgCL39FsMsW2iGEdhJp83TjDbatY
/T3AKvsrlDwQ7qlnDqP5tYg7z8iIEg8q5U6WOj80W2AJRbp2UFak5JIlRHetGrP80jTtRx7XH1My
PXCp9mqt3ztj5rOBYLyaN/oIrd7uPc1pt4xtjjPTw7Du32SjI+lU8sWgcP4wbeymdzyLnFvvgdwp
3mAKjVMcS3dq9M+GGb+J2dTXSGyafdsPtPuG+ahm6k4L1ZNZdt7Qpc8lH1/TakQf2tY66E0fq/6W
zuTzGDTrMIOlUcnVikxyZJFNLu+w5CaeMhEaY1nXvMYbA8O7N8ZzSKRp0Lh6L8enSDdTDArqpRVA
/IeqPYTqyGJulY2oRgLTA85GO5sODl8iuSAb2qlByttHu9SO+lg8EvTtpoZ126nhJa/KI4NOt1ed
Y9b1l8ghUFUt18SBxdyWxhXiXHrCgPfdri6+hUZdpVL6UqTKS5lm+7hJD4Ww9zRALgS7eUIF0SfE
ydARDolqOsyWxV2MS4IdTe9Vam078vGcmvDOiICuaR7Qy87TrprzfN/axZdsCohgiHLhTSFdbWPU
UtpK5SZo4K7Nk1T5v955yRf6dDNm52Ww9w3AiWOO//9x540mhf6lKeKrokpVWi/OtLb6KfXgcItj
m2mDZ/UBFBUy6LJy/lDKqrlUVSrf2bONjnscb7o6Ocpj4KWO9SiP7aaKzK95moReWYL/AyMC9WUJ
BZhZ06QDuUVgNO7AhZTeFH4ay263fVG81dbcuXHSPKj4EtdgyKA+yDABRe4OFUDMnVKmhLgG+YY5
/Eal3S5oqDaZ9WUS2S00yj2N6MPciH3VYXoti6NNzNCmHSYSDqd4q46R4YKGds1AKvxITzYh55LX
yM2NPnXokCJzL0cO32vmb5Ap0Ywl9XifxL2+csyuYi2oZz0GrV2ZzLrHOD31JWpzht3pYGwMsHle
TKc1yGlMdzYYAhRePsaLtRGWRxGSLWLl6jkWw0F0GWlEKgiRsgCbMzVkVtTnNBE3SDJIas174Zm5
FJPrwWWvrq9RUvZehgyI+19yr086RsAxfoWOhDaNxTSyQG1ygtO0+pJW8kYpUevryjPSJC/TgGY4
+nZgH9Ka4kvhWEe5knushNKXQDHnVUlehNkxK6AFDFW7XPay9hhb5pMqC0jU9LlsEmbJlVAIup9S
XFXhWZsZ6GObh1dTIupUs6R7KNBLHqjj65PgJrv79VJdjAffz4BZqCYEQdtSbdyvuvPpipBgYsdF
lcVXQRd7WrKv1W716yf82LD5Fi9EmYgR1iAEAT/Fp4aNZmJ5tZ2Qrq5JzJ95jruYtKSbekhYCcKN
zcp3kvWvn0kB+sPr+utTl9f9HbysK9O21DVJOslTfotbl0xv/oFT8YnqjkQrmjKoW41HJBM7hl/Y
I0b86SIfaPQim3Pzen4qJOsYt7rsItTzhTMob3akW14mJ/emnQ3oLBnbCP3ZDNJxrwjN7FhNebHu
Zitf26WEwqMET4jgc9p1o6W9FTmAcbTY2jqO43fBWl1XMtwNduDJa0lmcimpbztdzOQhp/fkeqi7
LIRxi2OD7Nwth9JdU9e+2QyA4Y1kq8mRRB43NxQx5DlCyk52q8wkandYNDXxeKNGOR7aGICVFpo4
PgBSNv3XqkHG3ZQxVHkQ6oN+N86wMuV0b7QFudKLoz4OCEtMWowmZmfs0jk5YEbw8ilQPU3IkC+D
lF1WfuxllPZxkp3saNzk9bDug5kVLK/TNszwfpVekWT2qkSL4tUiOJUkB+DP3yqFObtkkN0yyecC
V0p3XYsnRdNIhKSzvJFKUE1KV7yaYXWq5exSITDAsNWuGmWPikmifNa2FhnMXqko9/kUbcdgHL2+
7q5KkzMyKUE11PqHXcmdG8Chqgx9E5b60Rr+j1/9t9jyb5Tjf32L/rraqCi+X22DzhVDRet/So75
NX4bvzpUD6QY7MhuONocPe67OqzIcj7lL8Ph12t9ycz77iv8x8PpOdKuVZGLLF/A75Y6CgM7T1F/
nkrPWOVH1S39DpzDQXq0fKDe92fJPT72a5j1/Sv/I66mo7zax35wpSEI/Te/zY8H3++/jMbo28CA
vwjNPmlKJnkgClxJoqtIvgbgsYrlx7r/vfT927f7xz3rr8/4NBGf66yTokhEHK4fYU0OxOXX7+hP
X4MFGJ0gQg0q5adPE6vWTFZ5xeEtXVcgqWqDO+fvO9R/MIQLku/vu56n1y9EQ/9k/sDf+q7ryQJC
RKmoBpkDS9fxj8odrQZsBWp3KjbkFSZ/9McAgpwzamkYNBw1DAi+73qav2G+QEzFX9B+z4j8B5U7
aoQfvm8LgxD3NiRykhBwOBEx+eP3TWJE1aitEp7RO1LO4n5pG1AAYqqvyB55LFMJiXHreHM87S3M
qps8Czm6u8VfwFy9r9zBMdgZB4gOljiMYB1WM367HFe1p2AYWvbrVYsXjxu3eIChBz0ldpy1Hpfv
SodHqbW7q7bDLqL0z6bIvipJujaAjoHUi15MR3gSxcMDR7lMNnN6CLMhcK1gMRu0SuF3HSs7hoAW
KupzJwicqWI6o1hP6LdJpu6PbfC1H5oP5Fkm/ljZXNtFAvShZmCfRpcxzF9neXiQFl6PY4a9WxhU
dKlk7A1TIoHEjHgHHICHjVW82UbyHln1VcZYCUUIL7EjCmzdlMo1UgQvEWTPlPMBOxbThpr0mCZW
r40kuZZzjYlzLIhzs3EECG4XGxRU/apvhvegSbBVK128SiObFlxkMEmRkzvUI9dMUbBMytAtGk1Y
xyFzbpss4OqtXJp8qP1E6JknOfMhEs4+asdDWUSyaw0RYPm234UKEcNhYZUrJh7FqugMyZfixvYc
QHD3TVrkW6cwOihhVuKGkMv36OsSH9rXF9rD0z7sIxJbcjlksJnYGw3XI04l7WhWyq7S7ZLBaBBc
Jgn1agRH3J9CTlNHMMwNpdh0c1Bzl8KUNsXCmY4tLrHVy4TMbNOEjLdFGVGchlZMHaD7kGjQ3gV0
pc088NuwAq5t5RY4vey9daLMVSzqNhzl2VrkHI5jFrwIa9iZYV2egGdPHj908rDC4+bJR0+e+3Uc
KO26z81mr6rVDYVfhG8N4UQyGizIjsmb3OjatlanzA27+b2rZW1VNoQjdZIumGnnDlnAhbWNE7X3
5sk+WZnuePZofsClBkrtKFcIDnJXa1nK1HSjF/ax8MuQvpQimbd5pL30Vgo5jhpq1diW2LbNCMI7
HEgfCppdQNVn6YuWJGOIl4a57cldzzJ2rOtAzjGI6ELfSpnx7CTqG9XOxpLGdq2OzUnKJHh/ko0e
ZyBgLaregCYSqTJYFWDExjEv8oSCY7/EERtc0A0q1rFGzKsNH4S5P44h33k1tQuaJx2JpNboT2iu
rvEVPpM413iBHTNSaFBJYU5/GKm3qYzIrBkRotgDA/WiIP4nTQvYQd2wGQTjxrgA/1LH2KZI5TvU
Fc3nykZQNRn53VwE59ossTA6jdcV+de4rW5Vjcxr1T70NjyTFgUPZmGVwjmSopOc5ASMEMG40gXt
oKzWb+QC667Cz/Ur7Ka2RteHYnAHUF5d03t7Hpxw2wz6gQHBV7O1fOICl60Jr0eQTftCml7V5ZJX
Ka2xqnCFojTrzX2MzMAewzHoSLFr28eckMTCH6NSn6Hw18WtRm7LA6XsQGdCLTGXyE1fb7XYNl7C
tDD2bVOK8BryY2jv2krSX4LQVINTQtzQJnNSIric4FGhM7E2RqxjQFDEOmC9bHXsTBA4Z+EOrLu1
gWphxSp87vRuO4O+WdEm3EbmHGBVRpYzxCHmrCK42PN8HvMOxUk2zwhpsmthhlyzQQrh8iFpsk6F
uu7C5GtYW5falIstqb3+hLZ1S8SDcK3SuqHHQz+hf6iMAqfW0tQL0Is6iMAqeb528B536WS4yC5e
lZF9HIMtKIzsRhkU4bZt0GwrIcWsteA8pbLqTi1RFhLwY2LtByXd5QWFYqPlryj8iBlWOzQfZnyM
0+RNtQd2g/FttFQ/r1CJz7axCXSd76FgwGNJ6R2Jmjl9wyzdLu7wfN5QbW2k3j6HioEPcUq+mloE
vLmloEb5gbd1rXBhWyk2PAPRV9jTsgEgKJr4KGD3q7Ms9HOtRCg1wR5N1Bg1LYrbScdr3cuKmw3M
PVSzuokTAtpEbR2DsrouGjl2q4EJOvq3uypSr/RIISQzlHyjrolfsPKH1CyuC7LEJXMxeMnmY2L3
7wnKls0wisNQjsWKmuwQEANhVPaiKTpPRpG5amvuywBXfJeUfuzIJLbbL3Tz440m46AzpUJZdRmZ
wlqsuYjU8AgID/XzreWk2kpR9Q/CFVHRzWy2mt0ekozhYGalJv/hiP2o3uutHbpdHKWruLZ2pJKw
P5NOnvYzrdz4FgDda9VZO5WpUArerC+kh3TRA8oILOuuaNluej9Two/EcbYGaN1C4k+D0v6Kq/ZL
2SiHTI02365R/7lPLrXWr+6ToCF+cp3kL/1xnYQLgVyFURDVCCngy8/78zqp/faNdmMaANUXqcu/
rpP2b0SRA8PBx+MscxougX/oe63fFnU+0l+NjobOcOWfDIIIffx8nUQyw5Qfy9DyW/ADf7xO2sya
TFOS57OWRQ+Vxn1H0KoAg1zRP5gz367MjcIiMiaJJoXzQH5AiJCQkArse3eJDf21aHdZkqzJQgga
z7Iyki5iuqv3Ygk4LVT5Ekp5vWvZCB3ov4n0poqCbTJXtD46WAjJRsJHZLjEwkq2TcuZl3VJd5Fz
QgKLzrwd0qVW76czPG0mobnmlRG2u2os7qZJeiD84B4Xb7eSVfZkueZ+IU2gd+09zFhvipr3egaG
kObDKkzkmzJRr9kWHtS+QWHc8s0K2qXrR7xhF+Rfpxp2TQSLO9Ct0FNruiWGOp7bWnnFjQtKuddI
pyqiL9WQzV4r08J2Rnsdyu3gcpNT/BSSEiAZSZ92A8ZaNxrCg9JZZw1EdadEh7mzXHwPlttnET1y
tT/UffkYyc6zpFvk6QiNZNhm3RoEVMRwYupkvm/rwe87pbxSgsURWnxVcUL3dXzjdMuNFEozDtCd
kk0PadMdpKL/KtdcSWVpslxV0zqCjVH1SVLaEmecbquG5HItMl1pKlQvUOlQGJTxZxWtAJPlinZU
C/QaLrfbLkzJAqbEKkMfsLbTdCb5HTAuno73aAr3uaZMmzZIsNyPTE5slR1L23ZdfQ4EODKN3hJQ
iboq0TCYXbZpDVJoVobIdlpbu01jnNoRrptWqKob5b2vE5Sb4r5NxSjhiOLil4+voVmkK36mSz4i
zXhk2ANeSvwc0qtck/tU9y17a0pzuXE+QNPZJ8au/dqWm85Xu8gEZ66h/cvr26hhtKO2WXFQ1JDp
kgWefK67LT5pEmtNoXMMWZ7NbX1DrxaDOev/qmMQaUn6TqqaBwa0W7lTH4Ye938YNbLXNqpCL0NN
johHuN5BLFpHBgEFQZ8QGjii6ib7KMBCpchX5aipF/KIuJ+m/cbRS/pf4T5LmwC6p/pKW8PwYOLF
ZwvLOwB53Z/sDLd0MzBEiQUyzvxtagpf7eOngojM2CGBJYQ6jvx0EmcQNat4zH7f3f+24/GpI2HA
cmW3wfODU2gxB30qOUsN6b+QHOUsMoSxX2AG/NtG8E8e4SwJfwh52AkZXvy4DU1lODb4z/Rz2rx1
6fVU3uXO8T9n1DfJgsqb+YszivD3D4aDfz2mlr/35zEl/8bZgAvUQSiEfpKm15/HlAKMiKYGAQrf
LCqcRX90PczfAAqxJoD/aovZ9I8z6pvm0qGHpVsYPBal5j9oeVjGX84o7jcLUNPWWB8Kx+mPiyMr
YaBNTBKuMm3ufcxaOq5769lCElhY3SNXsvt0vkDc33ApWqsICLs2vA8WReG0aAthdngVYkPzCHr9
XRvS+2xRIiqLJnFCnIg2vF3xPdzBRt/KIUyasit8Q6lJ9F20jey2L9KidlQW3aO2KCCTRQs5I4oc
Yoi+QVjvicGFrq5Fj5lRHPPJeZ4lpNKlDYQirl6nJL04kfZam8rT2E+qa7bjQjkp3AkUrFdWyaHr
OFmNrOgfSTF/iblxHvISfbsyGKYnl8k9WUIv8mTNOz0LdwHSJt+0obpX6gs5uVcOPvfJtG6depMi
C6scWumo+++7KH62Y2k7yMVjU0vh3lJLzwGXkeU9zDhmeGK6Gqf4Su9mt5rqpdsTfSnKlvi4nFLQ
HK6cmLwEgDU7HRY5gs5oKhjx3y6dccsv2/S5UqFY8itumob0r1bBCKCLZtUaiI8Ig7XvAz1YFUbT
bHsTBy4J9JskkI5mVgzbogVIEMTdeiiSm7IxjxQ+s6/TxVn4u9uKCMNaAqXSqmj0o1re1OZMDlDf
XU+2A0eZvo6MtX0T5dpHG8f6XuQ8T1CwG+FiSanf5HmKGQmaxwj+QdEkr6MZOEsv4ch470wM0lVW
6p6ZoN+icj0OYcQUE8S5gcar1UdEFzLFeB4RrRXOBWihAZyFSJnXCQsuahy3OH4tzBFT7BhI5ajD
WusV6/uOlkrrdw2kH47ilapOl8EyG9dSGFhW2vukJpULO/8mVzIQO3xyhCncG5Q0VQbNDi2lfawk
ZSfs4gQ144Wb0kPUgHuobI6DYQq82TTpEWF8dKeaCidN2l0/tSSJoTDp4nqp0SwHO3J2CeiauDhQ
tggXC78O6V/MkzmQjrXT1JjoRMv+yueBFaI863Xkp6a8MRQhu1lEfkGPBmMS2m0y5y/Ibw6tMpyK
mVJxbvM9/YajDMdBzRAXCLnc2b39loD3c6KQnpmKS4nJEdya27KT7uPCJIe52HcMRyDG7lI5PEty
/pI34t5MMdqIeTjqWn3QuuLU9VxZynS8iKzfjEF81Bd21oxFwCl2Sq37EJK3VRjtQ11GaTlph5JR
7NDI1zI52X43114Qtk8DHBTkcbMf1+BLO0wx02zta0e9MeLyQAryVk/JLGDm3O3AQZ51uT6FpXXO
y/69iSdU3aF62xTNY5hXB1C5py7SvSicbnJZoE7gS58KLCZD/Bim1sYIi21mxvaODsrGhJzG6mhP
Wu7ELlzOi56EO3zyl0zqA6xelRt19a535Cd5ZDRky0J4jtrdgAA/dqhBV8gNMKzN2VPXMnHqSMeY
Wg/fKTGpdn7ShPky285mkMgucAbQWv1zzoWmMeSvcxPioodANDfBUwyNnZJ7BgZ3Q+rihC9sEKpv
FwZ736jBfdIBG9amODhhd9SddId6nNQQxTkQaXnWe3EIwmlYESN9GgJaerGTL/w15ku1uCJBcFMV
zlWNSMC1h9HPKllZkxb9ECtYuFAKaanE9TW5nZePULONtxLya9GENBmGgxJKj6PcnzVFuZJTqn9z
yY+bhldV4u4fl2HM96T0qpbPolYMP+/CGE5J9lJq2mlysnbVxvU2LQj9JsDFa0zlwQLBWDUkd0e0
+RrpAvpHcVX9jhxD5p/zWyKs29low2NuVOVODoObMstP0lKIBJVY67PxopTmBsYmdrvB2CYt2pih
HtVtirNHVcOPdKLnbeULdcuajgrWA1/BaObLMVHclVFzh41KVx1tYMWhvMVo8tQM8W2Vz8epC++C
utlC6goXQtVDTt4Or/kunMRjW0X9btSv0zSFpAZ/KjERhWbjxtCL89CGd7E8N55t9luJUW07A2Nr
TMjCCnw1h7dGOUvwTKCNTBd4AreI++21rOAXsOGXgxcgD0IzT43gvF+LhgyXdTdU8YMBKYTN37QO
ao5ZLIN05EeViaR2tlax3fPtnI9VDBLarHlJ01Ru63HaWGHuXCOvwtiJ3W89S0SdqD28FoxEI87O
7I2wIOw0eeJzwhhQnDQFs7IgbyV0jaLdkuMD6FVwgy96p98nYPdXFRCyvG52EIjEKiU6xtWSWlmZ
MaWWIcRjX4SqJ09m7VmMH30laixplSUmM9osxM7WluechuFTolgAsoy5lvzOHoxLM+QzCM251FaD
0Blx9LSf8KTNwpsV6Tho9R7pxbVqp74+JmuiJh6yKrgJK7I4K5VyAfeiKuxunSvVUwB4y7XCYV0r
xPX16bjp9ACpb9u+9Qmq4tR+1gPt1A8Th0zsoUXy2wDbndbclQgwPNuKXtlZH/BGbIMhOsvG+BEk
2oH2oIFED6VzrBEDKeEkmY2DFWcnFJWaa1oZc4vUl8psj3YAXddE1p9ZB+dENjyRFjdtgxPQyuYd
IZFHY4y3So3qKy13mcMYuJBTnOhUo2aiXZwhu20p5vtiQlWS53c5o3w3k9KDHA87WZZOGHVcrkIb
dax2beDgEgVya1UHZg+Ppq4dBJ4uUhLoUdnI1sr3IEFNn4aXMeCmMBnleg6iNWgT16jajyxyjlIO
e5VFNyJLhAb3zvAMnRusV3xeN7WKc12NXWAgoMczGqmjfNukQLPaHJ4iGky63uEa3Qg8m9ADgbWw
4Bq/TZRt1qlPva2DeFNG35AIO7SkiatFtUKqV7G7p09C61x6kSGMDHXtpAyqu1CgjkkeEG1v4CNd
A7eJ6Kspd9Og+FpSPhaKKXtahiZGIiI+qIsevNvQrdtIuxoM+SoItZdRbs01Xr61HlibxIl3Tiw7
PhwoEhbmj3IyrtqSVHb29/ZoqiyWsBgMBksWUTNTqazJVrfPhVLsc53IE2FD8G7li9DJ4SJbajFd
+g1gulVgRMqqbuRsG03mszEk063DTkPOw3gcR7vzpKF4HKEa4Cd8VlUQsmVcPcnoFVC8d37a9MLN
G161HShbZ9l6cASu+oIAnLAmAsko01OJizkNpfksqfUBIDOYKrMZvarOvvbKiNR+qnIPO/HXCUuR
0le3YTyWG/Twu8FSmRq0HQLE5dQ29KdR4YuWwIjy6tEBhDzpV0oaX6UDTvJEjwgmnptjGdRL0ao9
qvTi9wOObKcRz6Qi6Nvl6476kj5uzmme1r32bEfE1JT6RRnG+OjAp7KVcheW8p1Km30uDGJxhm4T
yjA1s/RYhTLpNnqNjTn72tmFYC9X16Fm36VtsY8ZXqS9yT1zQEKvtk9I62+csVraX9ZVooRXmZVg
K9WnA2X8QyWcZ33UbpB2FwdDg/HX0Zjw1VZ/Jv1z5yDnW+ib+Sbv+cFSpfgFBCmvzPV+mwiB5CUv
OR1Bz8naLfRDlTKiriWdbJ9JVxM31UxprSpxQGzRdxXfT7TYn6prwrHhAJioMzjjHbw5nwooNZbl
EcxUfE6gNef5qZlHqDu3v37I0gX4QYXy7SGIfukTkOhuLVXcd0KQNEByTW5pfJYn8P4nGTeJpN+1
w92vH/MX+cXyGAtxvS4joWcA/uNjAhg9VAEyF3f161DcS9rvgKm/bXb85OdbKkwFlVYEb9fn96qB
ulEUZibO+cBC29oBeoI/q++ffBY/+/kQ03mHeKPQqXySqIQW8mbNqLIzJvnMuDb+r83xt7//X/Q4
n96fT581SlolkthKz8xIQJKmil9bno6c8EMk3q9fyk8etQj46FLrBrAp59NHIWxABdBO0rOcbGnO
tQSSMdbXXY5h5py/ftbya39aXT98LMsS/251yUqc9ZYpxLnEK9hwo3P5arGnTr3/6wf97EV9//l/
elG5lThFZ//+II1JGeqwyOccWY7i8t+stZ98Ly2Hth/yRGQj6sIF+f5FaQZhiBy8+bnR/EC89vBy
g/dfv5yfLbfvHvF5uc3Qiws0sfk5t1+T4FmX/h/LeZkbEF/CDAOD/o8vIamgvelk4ZxJNXQ0Zv/T
/2PzolsrmzCy+dogMvvxCbmUc783leI8W6+DddUxYJbbf7N3/exDZxEDNlrwacoi3/n+g0CrgBnV
nrNzzcVvchnQK8aF5KWi9Jgd/PoT+cmzbJmXoSoLlon+04/PIuoH12Ri5CRtcCdZo/aMkGdX4L02
6s23R/1nLLcIbv/cdL3X9vW/PnKwp9PVa/bxP/99eq3jsmhYyb//292X//nv302xy9/7o+WJ0VyT
LXUB37F6CZ/4ruWJ0dwxKEKXid03jN4fHU/rN5zflHKosKBRLzasP5ueFsZXjSkeVie+Dos67B80
PaE9sAz+teF903kx5QPHp2vYxWiK/7hMklpKVWtWo3Mmz3pwilSCqUZFjuydUed5eF0gDtjPXWW+
mJE+oEOU8ipdDaM0PNez1Tw4kV7cOk5szC5JXUPha7nVPjZapyCZQHe1NqOE5O5YehhV5i2QoLk5
q2pKwWpe20QVdKQUdj0xyGJ6HcL5lRxJnXvajdnY2ZqAg40qspiZkcUUKzXXYx8QUV7vEdRS7zYU
d3hQGri402ta1SiAh5qgTDVsUNDCep9wGpAdaPsip0yUcsuGw+3s9LAGBzQE2zIzb/TeuMko271U
wxAQjFezXXPn7xnF5dVtqakvkZ1QNgZUA3meECapzpA1YidzsS/RY9ONm8S0jr3dPKkZ2UBmLo6A
bg9dlKKQCVTb0xuLKJAaaHA2lLZbzulNX5X3lT6XJ63uC5gs6BNAlo6IESDnElBGwpignGk1PEwj
FORjjtNztsonzax6t1Hk0uvk+mNu6mmdOqMAp95tRZNsZCfbKghLSotb5SQ5rq5DNUE36DO1h1ZK
C45fSoEl3NvGNs75J70fu1XuFA95lH5BQXCx9cizS/GupNGdWVDbtm2iHwMj2MWldIlLNHG9YUVu
ADwI0qx5DJcGeCH0m8g077i2Iy4zrC9mkR9m3F3lZNO/km3EGrlF7GxfJKsiHA95rHCcD/1KL/KN
iKHeqkt7mM7uqqvyh8RsMDPQ7/IRmazNkiu5YUJyHxh8RrLt65XVX3WLfs2aGhvmoL5rUzN7oE0w
enXaXWZwiitDi0D0d0xyJRkp3tTd11PyFvQ0W8yo7lbcAH2rth+hWj5ZQeiqzGBFFnKVWX4Nub+R
JkI4gvksAP+i2wOIDDh3Kq70vjsKJ72mwfkSm0im8nTmGjRSCdLXaqGmTQfyBFApG8mxUAvmfbRK
I8l+lCzEg60xxK6SjIEr1bFPsXJllNlZcwBIOuZ133A6tH2N18LSfUmrXoiR8yJDBTUvwpVZWPuy
N8/T0jPPTaaxDk6bvmJeHjR3dmK9mdJ4qs3uQw2yO8AiO8ViLtGnyk6OLDgKwmloi/A5YNr9IpSB
r9iMY9keRUcpYZ558bTYh+gJcBQpK3J2VgPlGnW5XznpG1kLrg1qGfJzCrdWy65bIttRozBpz9r8
MTJRFDMpVFf0XMVBEl3pGktnO2D841pZ9ooFOl23k7goNA2FVHDzwSmAZQGOvj0fRd6eOiVFgKY/
D2b2ygB9Pxs8dFAvCV0OETi7iOFBI+SNrsEyL2lVxIE4dcgZVrlOt2ZKKSDVJRJHoZo3or1DZ/MQ
K3V+acY0aPYjhSYbRN6vMlWbCZGpMLYl9mOX5YLSOQPgRYpy41dCbjeo9OjL5wVDlFFXr8dJ3yOf
Vq4ivlgun7lBOj3DWKMHL4i8bHycqzy8ISRQHBI9MTYtb8F6EJLYKrQLANagGliFoAflVW+20baV
NMzyGBkEVnpZ8aUkSH+/EfznmFa5R/3imP7IvxTvcf6T2KrlL/5xTqOggRMJCVVleo1PiD/6czQJ
upZjGMQluXo6xug/R5O6vGD1ZDQtTMyZZ/4YCs/xrcmyxbXyH00mDfPTXY7JuKGpZM8jokEs7nx2
F1miDW1oDtJZkYQL0xzprT5/0MwLV/CSzFWnycwRE7+ewkxs6GnUN06dSRfV6iWNdmKRWzchok57
5SiT5sEHrx/RcFrTO1kFAP1Byi1jI33D2A2KvGrPZBMMC0/e0TcEo8JsrAd7A1NmXPel5Pi1oj7R
ZZDfw0pkbqWOpV9ElsC6yYizD5eto+C/1WBswsFW65cSO+uKzouNHLU39kNu7ZOkpj0Ke4LwVJoW
nbTp1O4tG0ny6Im1W6HBgPSw6Cuk6TSFhYN+zVizQfRXdi6TxFwn4dqRbW1TTxMgGnQ8aBuxzhQ0
mzSwTmvGKTPMrJrmIF5E2F7NddIA0Sb8Vzxz+E23ivIY6028aqT0Cu5X5CFiuiRMm1ag8E+TzNXF
ZmskaZgBzcAglNmp3op2ZffGsLbskcY44Xz73JKAxWnxuENVKq8boyIQoObCwIYqF7xnDLb4WKQz
hHHSiUMHJ3ihQYnX95UOiC3ti/Eys20TtqGnl7GXSWmIoq2TcsEJ2GiIVp3n2OcIyAM6jqSbr5Jk
KAjKgWw8qxZiqHHUbQ8hMQ28hMASGBx5GdwaPHbTf4sAZWHnu7zuezaz/2XvTLbiRrqufUXxLnWh
ZppKZUOSZAIGAxMtDFh93+vq/0fU5yqbctmr/nFNPGGBnCkp4sQ5ez+7iC58U9jHyBgw77WOf0xM
fjk/qlXnX6td+JiGki56bj4HNYbAgRhBD8HYY6K2AYHf5VfKjMxtRXCZ+ozu7JjuMyJkDhnZ13CW
a5xY7WnKOOVklmG5Rm0nrgMPkfamua/7yrrQJPqent5iGE/cpizbGiH/ODUq2FFCrTPeI4Oirhz4
D7TvYUJ1P2jGsWfoecHI3VULoB1nKRvUpTXqXaUh70p3tYbMrjKmCwrIByk+D9oJcoW5qStZHUyD
RVwUBdpz/GF4SbstmXBPiyCnVRAXEVvSXAxjpq/SPlA30vDtq4RupcicV000JPpm10XX3flCPzYl
OLCVJsqrSRA9oi1Y1KCYd0sADoMKmX5SYt/3bPutFeMhSvFcGtblFBaOZ8Xhthonz2QMzWc+2VN+
KTNCkXpxkGp0mYXoM6NO+sfcRnKdmaW+6cLgNpzGYF+F6b6O+11ScZPskFpgIPlXxBahGIn9HHQD
b6AZnca+6JGysRmLts/IVaxc1Uz3Tis9u66fsxpaCIZkt2Aqa0UsLdmGqn5TJpWr9Oh/IJ8xLB9A
ZMZ7i5w6Zxhdxh5YC1usd8OY3kHLPlG03YGLtnlIncLEMeKYF749fy0r9UbO3d5icKBnmYcYQScR
bjxIkbhx3z+Hpr41695rgqAkVdk+N0l+YxfaqwNoDwYmo3ZnujHIkVkTk36cqpmwMsMtucd4RhnW
YbTFHOv2M2NZFKsv8Eo+DcvzqCbxvu7CM4P0U2YjG2YaSgLNzsrQFARcHr78dZaPV1M1uRo26tyn
rc28CeDWlmJxx1zPzUrAjc24EXKxH2vRi2l3BHWUO0GAbkJUzVQWDG8V28sV+Iwtfem4C85am66j
PtiNir3OCnGJXWMzpRFyWk7iyUhrO/sKCcn1a3WNANP12/StTt8Kv7sZW6IqbAUYI73qIX+QCPab
GQ2JwTUQshm+dsIictu05oZjC1rj8cYYnU9pPGskmSOGKAZlmxm16/h0wjNfwIpRNrZDHx2rFyvc
Bj+L24RMcuwRM0YT7lHW7ca5flDUlhLLvgX6/WCHzU3AYK/LXvOpfKsUBZACQxFLjzaRWUKsm9ak
yHshqRSBHl7rxJAWvX5DsflVRZCi1coSlLBiALUTTr+zG7FRwvQ2RrTSSvWOo83K8ok1NJnc+ILI
O6Xb8CpeNY69UfXmQveZHI+VFzCV5/jTrIvKzwlT1F6GrnjgT2HgQVszNUZJ+nVIzmk4uIQzPjd5
gzxQHIhs2c/CgoLBWLun3xICgScnDIIiph1kfqa11dr+c9blT23lU3RZexRIAIAM3y3aepfbcq+M
GUcz6WAb7x+GWvlc1PFNIVT06CPVZsd353hB3u6sVvJ0WnDN+mvAzocSq3cvuts0snb26J9Alu9z
g0Garx7DAptm3kWbLJ3O5KMi7R5W5WBfx7VzqavjY2li4a9RS2oOEpPavG7q5pQ38oZwZmVlq81t
t+TpEGCxqmfObTK9TGXAvLFSGDcGx3pZqObiYUrag1bLbVmGvNkD5/PBbYal6MkRnOd3NYh2VSsO
goCQk/BRRAK0Sm8bAD/urLUXtL9X8zCg0mQKKGJiScy7uM3QhCNoQfLSPhrQMDRUTwzrodGqr2aG
ErGtHpI63CuaemK9ZbxYJ0h7m4OcF69raiVQM9XHUDblxtGTT1ndMrIZk22iq+c4sWNOs0wPikHf
wJTZ+YnpDppABwCdsgflwiSUKPBJW1LHyV3Pz9hPkPmMFyNpOKUA/YH0piWMc+HP8QY0uHV6y+u6
wKtDkbuYZBi8dS7o1mA9OvmuF/Zr38sN6Y/boLc2kTJ6KCxZfxr8CsE4b8YsP0DAPNSt/IQLjL2G
lK684XwWgSoNB3GRawbPOgp8AyWtWuxT0R5nWiRNXb509kIyaBywc+OxN+hgZwrb33cl7U/a/R9a
vO8VIs0d00Ihhzn2oyO1Heq67qJcnBjaRXGyKpIbgbT/1xf50Bz/v4uYSyeZTryufehZ46ZTTNqa
4jTaX2psPd3jWHwN9HXG6OzXV/pZwYvT988rfZguFD5CvNnnSpp9FRoclyworPO+MO/j7ikqTPfX
l/vpt8fbtERaLBTqDx9Mw6Vk+2kRnHvx1HaHKnjJ05dfX+Jnn4hqmWKZy+hQHX/ss6F3GBVnKsMz
MTfxsO2myUtR8mXBNkIJrrVXv77cTz4R/WUOLWhp6ep9zMBYnG3apLTRGVImUgBAX+Dnk998pg9N
/+V5+OEiy8+/G5Y0vmil6XMR5ourtr4khOI3o5/ffYzl599doW9nWiC0ZM84+UxAFQmhYbgCf/1d
LeOPv1qguLc/fIwPt6ZMpqTssyY6j0JfAfpwojOkfxa4R5DZZnPSiHn69RV/9rEYNSjA2kyIER+9
10lkZxHJUtHZqq4rJXDLdG/5X//9NZjBmoap8xwQ/f7jV0cIlzDtvo7PeRN6RMehIHKH9O7XF/nZ
V4dkF4E40lkLSvyPFymG0LKiaIy5P485ykdOivEyR/dv4+5gYPEb/OtfX3F5pj7erO+v+OFmgbQA
gaNO8VlBuA+wE9b9bxYD9ce7szAjpWpBldRoiJu8rx8Wn6YwgBeOanaOL/GT7Nk8j4UrPXkd3kg3
96KN7YrNrz/Vj5f84xH8/lN9uCSe6GyExxefexPmBb1HjbgErdj9+io//+5o9CvsnNKUH+6WOUPy
bwF7nP3KcTVMkiSE/foKy7f/8e7gaOdpQwuAXnuZNnz3vpZAafGNi/hscfSdbI1q8ykyAhwx8W8+
y8++se+vpP94JU7ERU1LMz6r8i20r6V/W82/Wd5+fgl05YvKADXDh0ctgqRuG3OQnPP8JFGzjJG2
0jrzN1vdz14hHrY/r/Lh1qM2Cdsp4CpR8pIK2D7QuRGcJp2btGeRbFP5m3v0t48Fx5TUX1QHbEWM
VD9MfEiCtsrMKtJz22/JsRxMr5pvfv0Y/O1B+3AJemnfPwZ5H/CFhlV6HgisUwXBIuC//38usVAQ
AAA6f9M3xOOYiZST1rlJX8S8Z0jwmwv87VHmMzB9w48iabyB+vjxM7B0WoOKHvZMnZd1oAzi/YJR
z5239w/yX1dW8lT8c1f2nplp9zNIxvJr33qyMCzZHDUG+lAj0IBwD771ZBmrSouGLINLZ0kh47X6
Njw1GJ6qJIkY1Fv/18n95hjRsZ8YVMkWI1n1vcn7L4anP75IjE4dHgtCUEgtQe+kGMub/d1iNyoi
6Os6765I4XErJkkBnTy29t88iOq7FuivVfX9QpJINQN3Cn1o5aN5Uk3bvjJjo7xSOuncJWElTLpq
0BB3oKhkDWNgYSIC9J5vY40WG4W1gdHYCh7LIrYvoMs6BxU4PWX0O2WRiZz+Tl403ymM/TuRsR8X
OuPgV32/idUCpqHRR1ArRXoa4rRBZV2WheaRL4k23BaBD4ij8ckUTCbHk/ZcA7XIX2RqDKR+EAFk
dEqZuoDX0mlT+DR+0r5bibTBdmBFQ6GflF6VyWWfxqe6TUg8KfORFMIzs+83zoaveRVs/Eb5ZPXV
jkiDrRRmsdUUPgXQJM8x/I2TeXLM9v40VWs9yTBf0FBJp+praIc3c4kIUCu/dnp/m6pghQejjh8t
PI8Ai5PuKKyyvqoaaV6kkXMsnYzI5VlrVsg/9a8GbeKd4YeECrRV6ZEogbgzFdLTBvuot84VXQYC
2zRoiKSdaNs2t+4mVTykGFSwMYaIsts20Cwa88g8mfJknmYrkYc2hD/RIuAmf+muNhju0ofJwxvi
EITXWWrtOaMyPhhpNPEtagUcqISUTEPU0zqW801ltjYABOTr3717Pzk+aj+u2O+PGGudwsbN3gDz
5cOKjSEHRCYS8qvGYzYHpOF2voUmuKrcdpfvfHUF69HLtpZXe2RBXxgb3dN2vvu7E+b7qvrXo/5O
PQJIRIOQJCIUEB9ld1BRh46mVHHla8EFENXRTQK6M+VgEHJtJQ72X1/f1DRaIcPbyjGwav9C5R7h
6cjcyZquHF+ZmHbPT+iNnU1DR2rTtuWGfuSTJdFF4wgCzTqPn6u0hPBY0/+zmlhfjwNQSTWMibQL
R2/S8TqoOVHyuJUI8Fu6QDtwGUSea1vszeqqamFdRo6BwTbfkTW7LnQEoIXClG8ILjUf/nXCfJs+
Dae8LG7WvMRXw+jo2yrggN7owV1AA1/Vs2M3Mh4XdrlVwHTiFa0IrlXi21/f4qWO+OGbZXC0FDGs
lyZE4I+lujNrAzEvfn2l9Fm8ZSEgTqRW6IfAMCeFxVgZVfD860tqSxH2q2t+qKDE2Ft1TxohjUf9
UfoEgXdBsZ4ba2dkFNWVTz63yUzcqipXpuSYSiOf0PXCmbCFvKRR9qBE7L99I74SDrPBLX4kf+xa
8ecXGVRPGZ43LHdV+Qff6789eblD/7wnHyE4vvxEzcQv/bkjO/9bovQcxEysFoiX/tqRNXLEpAWH
WjP+GIb+uSMD6+c0AHZRwghlM2cj/b8NmZ+gZjIsGARM6rSFQPAvNmRjWaX+et5YxdgjbQsLp8o2
CfRa+3FHrooKqkUYh2cSs6S9q96R+NI6qbDWecyCd14+wRMD8PyuBGkOh2mh6k8Q9+qN/U7bH8yF
vD/YzQ6+vO4/w2qNFd7pPBUHJsCkZrBIkAxN5LgIzgbveIZOwAhJQFY7beScMEtCfN20cXA4Ytyx
yBjuJxNGDvoDhyEJRgqLWJw6qsKdBT4GL1osxUofeSlxmdVO7OZZA5KwGtL6FEC4oX2jT2RVB6R1
wwJCuK/MbSfeJL7s7fsd/+/RXx6Wf370b59z1H1u+vyzknT51W8vAE+5ptgo85jEq6yoFH3fSlIU
BDjK0QBQkxrOO4PjW0lqLRF7OEzQ81lLXB6L87eS1PwfqlxdQzevvGP4/lVaBQLyj6+AreC1VCDE
Sd422nM/vgKWGqhpWsuCzmnNCt+OmouFc2I6TCyzNgbqfvCTTaoz8cpyrWRIHD5mjnWR9fQ1eJoI
g7myyLrkiTzNwvcUI2MSE1vFJbOM4hRH9f2kGA+2U5J71ExstQKQ1pR8+sMZ1IKETYKE/n1swVDT
MX9AuigVD7cJZglbEp2pjsrVHEY9md9Gvw2ZYANVJq07V1o8jExU5piXVQ3wfWC9nv2CYYMii11n
DiDNACuMZN5hDMO/QHqShJfdQsTslTvAv2uLbLFBa9luCWp3TQXglKzlC37g0C0X/VXlUBGQ01Cs
MEIu8TLxixM5tjf5zFO6jKY5CKw9ejx/n5a4sunMeEUulK3CsPkgpRguea8BtrPvu9SUd1GVwTZK
4TTAiDgVZH3JeCKrbzY2rdl94jU33TSp7kwrODERHaB/4jxFJbbRK7+DmJN361ykpTsYCsMpxAyr
pOqOKCbod04F3LdebMsa7lyu3ZMXcePE+Ob8gSM13OidpVfYYZLotVf1Y5DPV7PGRBQ3ig47qH5I
W+H6XdGtkgi+FkJG5hSa41ICu2IeWzLl0Rk1BfrGsqUKSjVzH7fmdeIzLQPeh2xiDrzKyOzNIIqX
SsOgpCnNlaYPnlHBb1Oyywx9ppp2B12fmW0YzaHqeWb8rjlXkYlUApsT0+Sp8wwy6ps8cJu421aV
frRkmGxaB3pJhUV9l6j5OinFto7FORmL5jgneLskzDAsqOaNZmpHp0wXw2Y/ukaGqoCIemCqxRyt
UqNt8IMpKMMHn3ly82l0ENT3cX4MDP9pqpjBpsJG1qKba9kq90ZVPcU641UVv8JUEZZqR8F1MKiX
6pit52DkcOC81jSdGW80fIeNuQ8qsGezKS/brjlFRVOJ6wK44fw2jeBOULWtnaS8J++jYiLNTDOa
jWNODPxF3DqPRaLc4FR/tYGf1Hh/yjnYBMSnlM1w4bRiUysaPPDwKiqKizFurhgjnvscb2bVhN02
9TuAM778OpuiY8w86AbUK99COpn3861mzsegqkliJcF9E5AugLLG5LokqaT1drDmxmMQuhtm/VzL
x0YQkJJ1zl1OpmIaM9nSqKfRK+wHEt+Ccj53M+V9H9HEk901i92qHnADI9lYiYj2pF/5Zx0/NqMO
yP/wpYouurFUy/Wn4HYmZxHzZkczneQ5qkwweEZm5VsnUKndGYVv9MTcpkEULJiwRXoU2gxqU7kS
HU8OOALCZWFYrTLaL/YoHiwj/1rUymtmIxw2ivR+zoNLCYkFZxmeehSeOM9q8OdWXH6xO+FfOgl5
DSNpAJOinLMCMUdnVeqJwKs30nlHD0fJW9eQF5qZ440+TOVez/sntcg2laE8TJFF9grIZpjIaxRJ
jmsbjbGlev2cj063ToZ8U9rTtvfxf5X12YnSgwIecW6oAmTlX8GKg+htJrsCRMMF4qA7u/PXXLl3
kWF/UhWpbUPJWXSu1NIrx3j0KqEdR16Ds1U4N3JqdmNqEFqY9hkAMxqPi4AqKsCZSatd81kjkvfA
KzhQH8IKKkBLEQPbKPVUm6Gc8xKV1g0E/ZuE74R9AFNygLawTe1zxgEUpDJ3sU8YW/oWUugZLerQ
x9uwqnDhxik5FK14JVkD7Qr5fXKZL8vgKqS/ACo56g+GUHOPGzrtpDbejFDn1azkkFhw5MEwvsPf
ZvPa1sF+hGXgC6IT9UNIXbmIwp+UZo7AYGCYGw0ydJimixDiX0SM6TzVAG/MDpjgkvUZNC+JFkau
aNB5SeqmnjMAjZaap6ZkED5eGkoTuwhkt13OWp+UV0PBPKVUB8gS440yFR4UjmkjcRwXlbMTqhg+
hfPUbYZOe0scCrbGsq6zkKSfOSVD/L966g8czC/be8fip3rL73t7EMYQNdJg1RC5UDn/VUjR2zMl
njiO0aap0Bv/8yShL7HDMMs4Y9CU1d8Db74VUtRYIGBsB/6tg1n230XX6A4nmR/PEjblk4l2kxRA
i0nd8vPvunvNzIihk515BcMCQzpn6xJ1jR1WxlqMQQ8ya/Y70BSCqOt0bbe+VSAYzEA1dhGmYgRS
Snq0u0iBGqAFXIN9D7aVgdylM2JkI2SDIDOcB5myWLcIhz4PHeDO9awEBotiYgmn3DdGTX6p00tz
vO5iC7ICrrtgY8kaLsOYf9YUZFDoUne0oOxV0/TtquqVfsWmmTHzFc3G75RPca4d69wkEwYAiD8p
N6Cf6PGoS3aoX4KGzQ555V9idr2fAKavyNyi51Jm267cI4VHHROU2ioy48hNrBbW6oilOLJRQnQ+
FR5Qq8+Z5ZxVhRZfGugs402yKsfFQuVY5XrIaEKiztCWQi3q+ocWlR4FXnrIIrzksN7ODQvlZjBx
yZqdA8m8r1p81fO4TlrUMMqUz95EHbeyFc0jcIRuWKeCGLb7V2GMB1iTUM/QW7qZr76OY1m4nWw2
RPHsIoneKVPTy9jWSjeq6/tOwnSNq+Gy6SiC+qgHXFHotwIbQGV12sZPfJzpWQat1C/3zALxLxvF
VawVN6R+uUxPDhG0iHCM81W/WLisiqDb9ItBGO2qDvt1q6NgTRNCDw3gMmVwYdD/q0sb9iKezKUm
j/F2FMnGniyou3p7zATGAfKbCcMgHEYNgs8dRhOm3Q68xwl7oDCDM8dDAhOc1lWr9qLv+hgWZ/05
KBBPzok8TJN62wajZ44pidIjwe55fBPk/WUk9XViRd3KNOcItuiUrkpAYbs68UNXGZ0ztbXl2ZX+
VqRqs1OxPAHKK66kmrfbUMfWoCd3nIeoPSucatVJhCWiKyfRgK9yVrXTGNpwdj9Y9nqJPeoU/VEp
u4JSXG77Ib0dE7mHmwrQYVHm0ZyV7tTEUHMVLTyUJU1b3ZmJlRuGzzn9hXWstZ9Hf7hXjeaT0UBt
I8Zum4fOKW6kK2KEobL9MlrowSAdD5S6CciORF0XNmwave1uYQOggIlVTO5TsA8agzqjrW46c35E
V/hUSXw1YzTFKyeOKi/uQQ8YSnfXR6ju1IT0osIML4QoLhTLec5xA5HcXGmuVqi3TPOhuxifiNTe
Cr04D/ALGAzqt4uHeG2HCoy5UVwFoXGMrFK4ehJtxihFZUz9k6vTcxbM4y6Zgl3X1wbMfNtxc4FT
Qc/SgkZl/hjn2HumJVEpHWf74CgTUGYVaZIy15eUFJsMA/zG12DIke9lrkwBjaWZTqpqoCKkECrq
6grvD/nMfngBWDD1THV8SyLnBpqUtTL10keGNQIdnqevA83AVd+TF0PauOEyN8ad1CyBOBYhEX7a
3ZL7wKNDxtcqUQUUoDKaUDAWkjos3CXB+GyGbe61Zp57o+ngv6iOqjDeErSe64IaBk02oF0JcRfe
/NcaAi81wm6ai8f8Hc0bVntrgfWWUHuVGnwvBR8M7w5f1qgZ+4BMwNW84H5VLT6q8H8nOMAgUQ5k
jiGZ8w9ZGu/Dtrr1w+pruwCEwV9fThCFTVF+KhfEsM6EYKUs2GFnARDXC4qYoD7PWuDEMZTifMEV
WwPg4hRCnlxQxsMCNY764d5ZMMddQaxgv6CP8yh5HBcY8ggVOVnwyITsFcAZNXgGU/hZG96GBaVs
LVDlfDIOoZk9jhPfqOqgB6T5T5xRcV+TdOHqDXxIg/l1AHN4Sizkdjqiw6YgONh4YqLytVd5GLDj
fCphoOAKU/W1TFvKfAhBmyqzzj1Q9ECnPy+CQZAs1l+hrb3hoyLFD09zZjBKNpYwil4QJg8o3GJz
X4e2su+KBMGvb497Y5C3Wuk/hBYJNnUavWWc+1a+MeBcYoC7a5L+Ts9Jm0HDNCP6rXuEm/9VSX9U
SdQu/9x1unouaan/zT3K7/zZbtL+twScLVMZ5CgIef6qkmg3Ie7R6JswMUTj9d0E1P4f/VlNp0Ji
EooCjN/6ViXZ/1OXiSlBGhLfimL9q3aTriwd/B86rguVD9EcvggKL/CNP1ZJddVkhiQV5FSWDepO
IBWrmrPXqpTTnRpXWz+0Xwxy39d+2X1ROh+j3AjYdTQOjfRTlm1x5/TVWpHTUc5oLiUKdLJ/W1bc
6GQCTJ98+6ykgUpjqNO8CnVzMjrHQWc6kBVbO3B2XayBpMHraZOzSg8mj5G+D7emLLoNtrE3YeZE
hzo0U3ojOFom+SuCUM6VXUlv0njz8AVuMz3aK3Kw3FKz761SP4OOOUkHnWtX5z263D6F5Txt/ZFD
5ySda07NtwGAkVyy7k8So0iQFgqdZONtKIL4OM9dSc+R60yy386iDlydMANhApARibIhoBVoGPHL
XutESsvprLzolCDxtHKgD8V4e82g141SuXGq9EtAcNESCY13stl2VY3wtCCGauQsu7EUkuiGZIdf
1xuD1nHpGKxrI1X35OsddCWNLlRiC3yOoiQ9EXDuJzDpEjLJnMG8rdTIhP5Zty7sQT6FUxsnOzX3
+cDaVswOBspGpnuajlcm6FM9z1u3af2nJrA/xQKRdCT0nTH5byhOiFNHO2w7JnnnQAFRMGFoFYax
K0K/WVVJpnyCpof0e5R7KEDj2gjKGyxyO6wrlhtKnAjB3FRuwWQZSUevYDwknrCMnU0EUMajazh5
lc+mIoPkpVZB/PSV2mNDmbUbp1Jteu8JVFQw2QRYhGvRqsqmHxRnaeppGR4XP9+bnZA7OumDOwg7
2Ze2XI+WQY+elM0VdJN42xYyrXZ1ExT+rU2ywYVqhq+BKErP9hPnYi45j5J4umdm+gngH+VBq+0M
UbYuBAGPdo30ehtkTJ8Xh9yuj02TfS3Ij18Z83BQxv6hbACMUY3ddxrNu4jDidv75UPf2IpnNfNl
l4901RTDre0Y9r1N+EQRbNtBHqlGeCXEfTuoimuQfhhr9ELNwDhZTbDtbPwqEXUpJqJi5STNliPD
ZWpi6lKc9mku/VOvJHd0xtC0YOYNtIoSDea5G6tV5NVx0WyiMCccLDmGAcHeaRB6iuMc89TZtSAe
3MGiK+BHd/DyKzcQQQgtXXnVo/K+T+y1wBe7qrHZPfe19DhpP/YG5uGhZWo+spOpk5lcm4nxhNbt
0KjWK32pA/Cmq1mlLKBdRidSnsai0I55nW1TBUJaaZkHfaxd0ssYkmrhTR8oSzdzetKsT4nwjMk+
lFG0cXpif/yQZmFOzFLUY7huk/Qal5ugcqsfS9Hi0u58yq35HEpcVKbervWBzIwo9oQwd/NieYMx
jPelRq5N3bJKQ+doOQ7el+TEnMftDO66hpi9t8Zgm2Tzk2P27abNatdk3iSx/6QiDlxmvZfdMO+d
MvpC04wkNlXF/js4qzKKb9tUfnFqpALdSCxyXln3gaBHpmY+L3ERjis9bL2sYi1cOXM6bptcm7I/
Jv7/zXkWGc4/77i3GBDf6r/vuctv/bnnMshU0RbqUqcLsWBl/xrxMMk02CxMZOL0IWwGQ99GPGAe
ED7SwIKy8kf74bs910LxrSgkkmMwXbbjfzHkRBjy9z0XKgT6VIMdHPvOhz2313KtrYQznRAXNxtF
pLnX0ARLIETafnWwlXhkU+slIDPp5+VxGLpbJSNm0E7AUy6WkShU5OWYj0zWY5oQXWNcGAxo3XTS
m42mInAxC7QJI4yCa81gaEIuuDhkUyC3TVw8OLNKx00qLznNUjQT83UWQc72h4JQnrJPV3pgnQAv
9G5esIYHJZ6PqBjmFfMcGrEkVTDg1K4TXaT7PhsIlPMlNpFQ7oRFyoXUiT9Rky7HrmrmEi5jcsPc
921Iqtuijy7LbKjXtWKKfTyK8SLA9+TOrVOelM580rRlJ+Cv+GpyhHs/4AHv1s3SoPQH50jPaVXp
sEJp4VwrCdy9rrxz4uoQhc2TIgDGlhn/2XnQcBHFl4acYLex7s6l/To7KfDVCW+cDU59sthA2cAr
V3S8qKE5bhzNf0lCvVlJu9j40NUtUR0Zsj3EUVbhnSr9hZHK2UJOX+ZIu1JpR3iDXd5EYQBSnnEE
Djgdu+tWdDmmh5Dr+eAREJcxOkMcVJdIoNjxFWdACtUeOtXZAN17m2078qTVww9DDmbV760gBjh5
15S03mN4hfZQ7pyAAcygGZ9hkx47nMHriqjcftQkKZdvvmV69FQpRfzgGVrQ185CrGElMl+3xlxs
VKWloZVqZ7+ezJVlEjrCiOo6rOdnu+LYpGIGdcMUc0a9WFpzsyBxt72P4+K6UzKCPE36I0uzYK42
gNlrwqGgf6jm9TgEn9u8dIBPNocAO9C6Fxm2X5PH1aZMXEVJwGBvokdgpXlEE6uhbxX4rRdVzj2h
xmeilSuqHvPgD3bNNAeQXCujZ5opy1JcPFujDgR+BADZCH/e+S3ytoFIEiKLQFZlREitFHUu16MR
GKugDW4t3+KZotu+w5d6bH1a2MQnMvSDh7qKKixlwFloOw3XphpykNV9COwZ0EjAwpmp7QiNIxk2
cEhiaZp1KjRJGA3ohcWhapa4FiUuxRUMylMxin2N3wwwdPJCHsHnONO/lNNwjhcqPcK1Nxapq1oL
MkYw9hXUCsWLbVoSfkNvx5mas17qr5zsy1VThgQtT1+G2LkatfwWHGHsZnJ+TCuYWY2QwYaon5gM
IrSKrW8+NkV1rQUYiOM4eYtnhHaT5uN+pAzWUmFSRWCecgICscKAsWUQpR6V82fiIz+rdUg/pzee
ayV+yiHuc/tRq5W0E5cpxREaxH1cC4ir/QXuQxL6RgkKprzwC2iWzCPdHmkludbisa2ge8bFZVFn
6WqwOHqGgfXQ4kAj9Uh3dn1JLdxkUE0G6ocVYznjpCWFLdYVlrLX/w6ifxxEkRz887Z49dY/v/7s
KMpv/bktLqwD9jiFzQcB2ZLQ+KfyAVEEUe9YjVA/GNZibvprW5SaaSLKQZGzJIx8dxR1+HsSvQ55
duyk/46RoOv8zz6eROmxSQc+HAwR/hc/nkRJdi116UfTKcrP+mQtyxgY4bF17kakbytlIqnW0fJL
e05v7Mn4MpWpcC0ar4Q8pJzpogaaSetcNIlz0hVaOqMwvzhhckw7536eqzt9YEnsgg3qW55x3EFp
iRjVbsxFYTFvFS27xLSIXdLvHdz6YDuVCtcsXDvo5sm9GZjzRgf5R3BT5WoccleFJh+SlOpvmr8I
n3B6The7oerukqg9145xFQHQ3KLiv82SkXDzMbjy+/aiGPpyNYnmoNrwX0fSLLKx4DPP65iBZ2V3
+84ON0hXfDzV+SYPxeeuhHXKURfPyxU8vc1sEGEOisf3/Bxp78weTCt0U9kAGnTmiJRHrzSfT02i
mqsgqqbbWWSYmn2yL8rGnauRY2GsM5YjrA4siojJE5eP2UwOtDn4FsM7Jb2wishZV4PaMDHxiQAv
4rU9LND2Jch64sA+OPNKV+kxYqQGtirv6f8RCxLQYYU42nGWXXVoE5PVaIJ8v1OHAc0H4IaKnG/W
tNBLY/xh6EGCmFMYm6ix9gtw6hVVgm32XtJMWyUdd/PQm16Hy3wVB8F2VIzetWaklr5U7wyLmS2M
grcylsdUaZwVrrOn2aCJgYeOxcjv7to8f4owafsSXAPKEWk0+6nrDmNNOp4Z57tCU4QXJqVkGtAf
HYUEpwRKeBgqnyfDvMhKBrSZnJ4rVVZ3Roa5OjM4+ParoRz2qMa2Yxz7zCp8ZieRv8OyRWB4pR+m
LlFXjsCbPAkqkTmz70WPad+sxGZwtK0S9Ux96BXb/rCfHZmslKI0V0aQ/z/2zmO5jmPtsq9yo+fF
KG86oifHGxwceDepAEigvK8sk0/fK8mfEknx1w3NNVRQJICDqszP7L0X+VUoUSjgtkkSewvdk1el
GW4sgdFVw8jStuJBEnGcO+ZHZfGZ0fc86T5MgTC7RyrwHBXt1RQzI5x6n12CfOpaFEQ6Q1+Syb0l
eMF1OfWHgr060dHyaSAVgLji135O1p5jHpmtr4ykfnYTlAOhReZ4ppMinLf5HV3UfUxi4KIWdse3
lh2J7VjXkk1X7z03AaqPVrinlg22jO2tbkFII5Vhq8+kSQjx4vjRDXCfjWeUZ5yq56nWA94xabLk
GUjccssLmQ1oVKJNVn7J2CAIolLX3Rhuq2RUHEKbbYEzXyVgUHwdFWoAc56v3T1J0bGtds3XIgTY
5ehZv9Spjo08MhmTz3eupJeeqtxbWK13R0DaEdf1s/TjUx5M15apbZlYAGJrgi9hoe+KwOcx8hro
ywUPYKiM+tM6TM13Bz0/L5Rxx2P8hFog5lioLvsEt3dgfQnYgq9TbbyqQrK0i86wl8znPXBlpbPI
XeRHfk9QtZNN+dWcBTdZxrlCxi8I8QEqcTEbRJW5wdsU9q9Z3lyFRstSDf3zqht11ltzE9DtO8fa
7+wraflbED1xec3aLb2tS+NzOCM0iDJ5L6vqAhHXm0H8ssjFvCvCQFv3mXkZ91GqSo6ObAPSlgi8
eq9qT6JijzPCt2qVf9HQ70JoXJC0ChHdydtlaLcX0vCOvWkcEmHs47i/aYnwJi3A2rsSbZfQjlXB
T5kgO6j7WCdWW7NB2kerNC4E0fb26t8r/+uVr0I4//cr/wpS/Gv3105Y/a0fr3yijRDoKtEiRetP
Vz6CXi5vHY/xV+Hu9yufTCTkj7h1bBArNhpJbuLv02dMO8o0EzjYcJAoogT+B50wLqBf73wCEOHd
qhKC1AvrVysbLPkSie5snB0WK9kO+pTJ/ddkpzTMl7bsrv1YPob0JmbT59sxCh5Ru3eLImbJw0At
CHNucq5W/Pzx2qraa3eooCXpR0EOnFtMe2tCoiN2Tqo9V1F0CKMNqSxnIw2iEzNKf+k6c7DyDHKO
sw7KhTvLL9xu6PEERzHBMc+oi5HQWBpE9LF/lhVFLMfSynKGK85Fa92Af+LP9aMcWPAA0TrZZBEj
VsofSk3MhBzp70ndfYzS/OJjfIFUlsXL1pxuC38alzACnsdZe2wlRKZJNlQAro/4LLgs3Xk+anZ2
4xrQARF/ysUUpiv2uPyPYffhhALrgoRaNhgrUiBM1q4JkqDQNldFjLWB7ueznj1xSsadKxedvkyc
sd25yuQden27otaZ7aWTEZIBtQSk+apGpAwkAIPMq5EAbF0nU0uGeDnE7MfKbIeiouHK1ug+7Kle
6yofSdcDFYoN3pbTPdtb5tBC/UraAc3B2F+TGQeLTebt9VBZKXoEPMU11qeFSXQawwzmD3GTImYr
WUcXjftUydZccJojT2xtf1FVYHh7ETuLKSA/MQxCBwDCOF/zbNqktaT6KqXBjiu3OgSkiy+wGSSn
0NHT1RiI7hCTCLGdcFCRKZfjA29QkrO1tcItA4oPM6j8bRM3Ytmg+tsZrvY2QLhf4Dxr1mxVETk0
rCMSIDo7W3ffA61ySDYcxzXID+7gwN7nugBD6qT5lW8x/Te6EoG3xh0aEF+5tXOLZI2hc7YIT96L
yQi27O/Rm7dafuXJKjrwyaElD8fy1a9oS8050XehjuW201lZlibITMvos3ZleB43CZp2uksyASqS
DBedw/yx97X2OHrVeIxG0W6DmFgCMm2sbY30Ys0vz6bXdD7YYOMRmeMPtrvWVklZ4oUuCyYmQR0z
9PXtN72gVCNLjIlvwaaZCoJ2rbaHdYiuUuO7RO6YlkgleOeiQ8vkGEFiVvbrmOgXfT1ZPjOUgSHq
R44mZOcj87+uDAiBrKW7Yx9KHVwLlWyrT3c5EkaIOWgGSyvIoAs1D2RdRktdhiSABWPFHB7g39A9
a1HzmFcloDQ/GNdxwQU8FFVFYLzHmnZOH4yyukqbLnmZA1KzzDiKAWf4yAxqGloprpOyJzXURdNP
jlqzD4T7HufDi9DDzRj5pHMG2seY9ko1kTyT4neASvQ0uaO3ZcGL9rdo1SESnPgo9iILPireUwY8
rKkK/073navGiA818M5F2SK+1u3Pphs8DrlG/99OV71s/T1pTbtKdredDO6b2EWX3TOObkS7JkEr
WTCSn7eWSXWcloh6fAJLxqhj6hPfRDqyGS+iLxe51RwdXb5SbOLML81dUsWHzAvPvjWetMlqVtie
fN4UluQlDxtNUU7oDkSZt9SnBHazPt1FFrZAz0bdOTWBfXAJOFjYbgVW2inekGNzZumiXLtWc1WN
2i2Fu9qxZ8khAhlC6QRkPptHn2+J+nTWCDKqJ86ksBqj64I0c8pZMCoItK2F1MOQUoIv2tdOvEb2
HGx19Ek3edTWK98Eu8IJI5hJuuSKOVOwrW1jRj4e+yqIKeeE8WZUm3O6DrvEWiUwmteBTBFNtM5H
N0dyldlyj5jgTGl6LKz0Ap93sbZG3dxaaEXXll6Hm4yEuE3sOToq3JDIJr2qdqY7OauUej+Jcwn8
ITG3pqVCWFO+27jgrTVHtgl5Sfwe+jAV6sgppZO7uh1LflKnHRxFA4wQaRvuVktpN9IC4mDD+Inp
KCsujimx+LfU+VbqMFb430ud29fPZJmxZv9NBKSKKPij3DHIeaSaQF5I6YJ45qdyx3fRYnz/E/7W
9wkHkkTL5Vbmcmbp7rBR/6Pc8T/hqKQEshyfF4fZyD8pd5A4/lruYI3EuU8BpZN0hdbx5xGHlQ5l
R6DZeJ5yn+0fE48N1Ip0Xaeqg516Orus47107OF5TItj3fFKuPhF8PYlidJmg+4ufYMsSHfN6rZY
FHPpKZOEdtR7+eqEprwkJfV9dBuG1+BVFnUe3lpCc0/lwLUzD1bD64qRETjDOo3ihz4e16NekgoW
+AeExQf0ih/ZND+McXHw7Ozc5MBzDHMXJAhxgpS7ISmsGrIMCnSigfMV3TjxzQotbTvue+rZ96Or
vWSD9j4OKtcrRK03jTS/5B9/adhBECSsXfb6IDgdmZKPiLEXQ+C+zTFJVOizjGXuIYMcyMlcibl6
iIvq2nQjgvaAznmzzWUt+mEdtURPn6JkT7DeDbNjEFfhu1TMrvLKNaA7WW12WQbuRk7pY9FYi5Dp
flw6d4PD6FZPP+ZIdXC5ee0ry4YvuMGGqGMz2hPzJkiIEnmcb6YeeWcTcLa27nxboPRZ9d5o71j1
pksrj+GvlcKj2gIoXqB4XnYh4lCOxW5l99Eui+mQC/YSQmjpDaQ0czXR+i7S2SaVN3GGlVORQ9g2
CsXDYGiZ+UZ9QG5wU3UTGBIQDVu2jHvMfMmqtfpkY2ON24kwmLOHMtK86GR2snhEWqcFi5yUPT6+
QS4ni3J2mBIqFcf/6CC3TPFwjnvwtVZBnDAz8b4LXlo1gUW55mlo1NgRJ7YRbhiCG2dPT6YltxUg
HHNGLW+P1amQZnLPQv2hJUh0Z7nBSwZFlEsa6vVopybLI9FuzNm/C8pxb7GyqtsQ74NEIdAaxr0m
OH4FneJ6CmW5HUYSdgtbrVY6yABdybBJ57O0uuE0AQ+84wlA0AHuFrlnPl2VMysZX4z1HRD3t46A
nqOXmQMDnPi9NqgWpD3r8MaMS82vqCLAD/PROwZax17sWhG2OxNw2W3jNjl5kl55l5kw0mojiREP
1HeV36/63tUWUkhyCRNnN7mlkshqXMtg5shEnQFrBQQ+W+20LJB3rp0ELBnYAbb6Sege+ll/ncJ6
2cTjA0NK8LklbmbuzHQV2QFV72Rre00LxpcsHUdwbU24Svy+3CJ5zT5nltPtcihbC9n4h2yMp92A
emDd9jitVi3rf/L2gvZ6tIzwIgZPc/KH+bKj9WMkAnuCeR1vZjG0G6ILWaGYZXfSfIlpx8jI73Ym
uf73Pvp2H6EW/7v7qPzP4r1Mfnsf8Tf/uI902mWXJhrtF/9swLb5h4m7S3SLyXWAWR4C6p/3EbRU
Buo4Eb+32H9cR+4nNtfKf+uS4KZW2//kOrK8v0zcA3ICdBIm8Dwyvld9/k8KeTE7DqoP7dJzinSZ
s+5LQp7J3MXKxzYIRPW80zp4kAxurrmFAsTW7JJHoJGjokcyvN1LxZOsFVmSoX61MBVtslHcyQQA
5QiIskqnl1pvTrOw9lKRKmvFrLRJkQhr6x610rYwELVHfX4zKc6lA/DSBXwJxaVbhpZ+HejEbY8+
zv82bR/1yfuYbHa16VjfFmZ67xkF8+9MYrHVmF4VQfNki1qsEgPjV4a2No1q5MWVtoF7IAizwU1F
JgbNvcUyXRQHknbHZIWehPsMUpu2Cif7pc4Hbb6ms/SHDbmZI/6jqus5kZpUrxmvGzaAAST1VTUG
m9pANjJ0MyERHF+Ia6314IARz8hREunc49FEwl4BMiAV4Evvee80eOwiE99ZWP1lPtybXeUtWHcE
S5pWCGJzdetNRrYwCvOF7A6Nkh4QGVQzwAHVcHTDrjs0evkGUDVtgaXHlb525oEr2S1s87r56uCk
4l2NGDv1mEG6xyyC1HRdXddPpV090OBV51pO1QW3/7zUvGBdemxOonpfYiHtjG5bwPfMsZZOTvjE
HInpbobttMInJUpb3xuCwWzMzw3KDpdq6ILN0pUBh+/n0Y/65DAkMNjQBbM2NkIseKNVnAl9uMuR
FmyKGgtUgKnH/goU7BVbMPuKGWy/IgcNojqkOV9jNWIq7nbMRhShsK3124hk07CBXSgJBm6AGWrg
FikBrp3U28Pz3WYDqG5FPxzAIPZ+cZ4CoL+TiTMTUKJd8JsfSfJPHQEkN310ICp6VbwdudqQ8keL
AOYiZrG7GudIC4uxhcmY9MbOIGGDrS+4RhetELh0azux0d3oBpLuyZsvXIV55FeegiFP30mVWAwt
35uG8mKNbRRiAZxIRH9bC24k1HjWN4Ake9b5ErJkoRCTs4JNWpp9m4jxrdTI8+juWmEYS2bS1xGU
ypq2qazloXWNBz1IR9I7IerCtUQRT+vMCCrpspdCoS81j+5MwTAtqJixwmMaCpTZQMwMQqNa6wUp
KK5k00VtoPuPJpdZ1WmrCuYmWJM3q9axqisaZxSfR0Jpmna8iB3jIVfYTt2cN40CeSYwO0M92KZF
CQSdZpuUt7chZMOAPOsiUDhQ9JfHPOd/gxM69gBDx7bY+xBEBxVmqpCi0wRc1FOY0ewrcRQm2rx0
v3JIYzxGkAjc6DmFUlo6qVi0iluqdTugrM8dPNMxGNZIE7ep5b/0fnkqBN6Nitud9dSyh4jaRvXT
rBCppipBR9u98KGn+kaD8U0BVdvWekpEux+JKM0VcrXy7WuL1GH0s9emgrLOcjg5A5jWCV5rWNLU
B229iyG5Jn72iLHuAnXAvUeeMJZM/aaH/WrW+SmmM8108ZgV9m2rILEFtFi7UEvK9oR5hWYAnGw0
G2KRQpjNzebYQJzlITlUCkEbt1ASQmSQCk4rMN8UZkMIO6C7AX5tBccW5PpRo9NdNKO2t2d7pxNA
1rfNvoCAO5IyHMjsYsIb3ufyuh+yHuhjc7Jg5041j6xPAVZ0+X0IXTcjLN1unH0Pdbez6wNztb1h
xQ9Dl9w6fndHAGfOKCXcDA5YvsF/y+D4GgroKyH7hmZ7MUP6LRXytzNGonKzYwILeMqt20AZi9DB
LYyq0ZcpYBjyiTYlHGFg1scErvC/tcm32oRa4b/VJm352n75LTJB+fS+1yeG/cmwVJWhIk2/1hN/
1CcG7j42A/TFpLurxf+f9YnDn1CEBI7nEURDeNuf/bL1iebbp8d1XIoe958VKKjvfumXaUKpc1zP
oTrBYairP//BwhdMjlYDU4gvtcw3V85Q9GufnnPvDsQSDq3Fw9Q3Pdml7qx5Hp54SUscjk2X3gNS
Z6UtSTW/LFvTXpExE01omDx9QK/kV/OrYEfeYnidGinMxZSjpOMNgi9BppPlqu1y5hmN3DPgbqNu
29daHt/6fY9HzEFkStCUp7sLGcn0rqi4w+n2UpOgAJ1AfIN80IWZpvGmrsmlqvq8280xEp/cEd5D
aQyM0Dmsh4eaBSNyUaeW89Iu6ZPwyTYliMfav7KyoX62iiZ91pza2QFWw7lnDHlIb2ZE/iL30+SE
2ppM8yKURbT0EzdcBpWJWUsvlkzDxEnXvOLSc8vhpsDmuG5hOdhgpsthh8naocNt/BeTUaFEXRBU
mHPZ204Lz08cD0lx7t1ouJEl6rwi2eWtJz8Xpob9JLLnrlzOOpcgVKLASelMbEsACfcHq986tMpa
t0owAj0DXDYMRuBsE+wULkG5ZgERSnfNGSGVDmK0pAyQtjEtJo+9jbYeo4zrrh3SFysou+vA6zz8
aa5Be9vZ8R0ApsvA6mp2qxqf5lVJipu+jjq1s4/CSjT72DQEM9HETJ+zvDNJEmDzSWkkkKKPpZ7k
O90qCWonsSlM9w3V23QoPEgK7+7oR++BFXhbol5CINlxpTKiyADrtI7BqAYjMfOT7im2jLo9N3Ry
XFH9v1M+49vJhdL170+uVfIe/W7Ix1/849ByP5Hfwlj9m/1FCZK+N1UcWqwmiWMhpQgdr1I4fR/y
WZ9IF1Lt1p/91vedpvmJDs2yAhIAPZJj/+Ghpc7Tn3RMHv8Y1h0ETmxRDab9Px9aCW99F4OpPhGO
xojfIQMjIjrIdbJDkfDwojYaJLFaC1uvTRDm5SxvRRWuophMBAuP8GsWl0urR56vE3Hh5YZxhQQH
b006IBBYdEMZnIuql4fIEnmyb/rZvMOorTl7o9NbbREEWn8uQis8ZLOr92szy1LjNvFQTRw5rvLu
c1BG7nhqrbp1rmnHtgPAs3e0A2wny0TQpti+gEOW4kYIGj8ZbpD49Xs7N+lEpIwzuSajTaCx8VBd
eE2sH00RhMe2aVLckCWemHiCVNE2bb8W+pwcnX6GPhbKmhoHsMGr6LCDMtQM0V15NhVpVsbiKjYd
pVt9ATr9OXWpHomkKpa167zXffHuBhW6y6Fo7C/E1y99os/MJhr3pdSdTZ9pgiTUyF0Mps6odMyE
gY9lZEdDPfpoaAxGgmwMP0+JO+w6qzT3sRbGF8DzCnJLWu/Sa8S0l3XdbG3lk2gZvCyKjEhDx2c9
xpaCLIMhPPHLrVeE+BHE34Urvy+OvghIFw5b70Q7LfeZzZw1MYE32EG89ZIG3WdE6II1++my6kRJ
olS2qv3gHUabtvUHucsNisE0cbdzOPYLrSOOJgoxl5Lj/2SDMyCuQg4Idp1tZQTImftp2cfteJlZ
5L/oMYOvIFfANAe8TqrV5hkbUnYL98+6KV23fE91uz0UTVI+YpVtl0nSAIUY0n8z1/7n1OIY+ftT
60Ik3X/Ob0lX/+7s4q//cXYFn5gFoZkMTN1nocDZ8P3sIpfKQs4ObyrQiZP6ueBSQak+bmDL59xT
s6LvZ5dN+BRcKR0L4f+ceP9Aj/HrycXJSX6kH2BLIK4VicfPJ1eLoaKj4IvOEYC6zgR189+wALb7
c0lHpUnUL5sWEFn0xP7XRNgfS7rCqHQygObpMsq8PS99sJkAkLcbr5hOk8XSdeWVc7eVPJ9r/L8M
Vozex97a1wkS+j5wT6jjg44SJ2xOotX8BkWZ5TYn19XgPtidmKOVDpxNIhfT11U96jVDeOA1ELT1
7US1t22ryFyPhKxu29hu1iSaplvLpW0rB/cq9UqVtF+AHapYMSRYoiCBt1WqbcsCivFt2cr4o6B4
21jfGNw+m/p18I3NHeT819qobYZS8VeAN8J4OuS6mZrrntUkaVJyIzWDqJwpfrJq4xhPMQa0XKPe
DNBPDM2W0dfFKFxj4fXapYiHByez7pqgu20zeUEiwIPrFCVuyYbonsS+aFp7HdnNRUzCMdED2R6t
WEJd6x5HIydwAWrYEFVIDal/dZKnZDUfaJ+f6zQlGSz3XESBzbklHWJHyNaFmPS32M3mY1xDaLJD
iBh+brAxxxwyB8F6ZgAEcAr1QWQTLtBPk7NFxCOPzVwfh1DbTkUGDS+JtkXutKvEkngCa5yfyang
SFqHlg2IL663Urb7sE1uYhIetmmJTQGuz76VikjZGfuymzBMxMVt1fbH2GK1qs26+3kesm45t9G4
ZBW4mWoe1clI1jblNwVdSdhTuJ/q5jTaZbIwIMsAC/E5xH3yFqLUuXXsucLib4tdV6JSK8MAvUxo
c5DO/alxB41dVrsfWIERpaa/2674YhSOj6/aLY5WQGj1Is6c5Lou/YLJgZ04S0ztyEYN7RBw0W5Z
DH3ONBLIXLZchnffc8rncegufCSBYUaojmVcIAS9HkpUdyxN8MCvO5jwhYsHdMzNrY/JfNVYfPBO
6e06fXg0lGqxdqIVXrYXmppTpffWImmng5PrV5J/dDCYeaBVlLaByEZ7NTuMs9q0Zy11YYXaLvAe
pvCl8uUByqG/cUCvtZ5z3yCfZov9NnCRi54cKLvILhxzviIe2FhaZsZiPwueUU8+W4ymVy35WoFN
BNhon0k/hA8WL2OJlsDBFOLF2p0/dfd2NuBjzaaVExOwODAmRThE9Twkx77K9jiiQJ4NxkOtxXe+
X9xrteKnjhsvqj9wxxyaQDtME4Q4dAEHSopt7uZigYRkZVUGEzth9zf2mJLwAIkq1V/Yb6LYsnLG
iRUjS9Oq00t8rNlu0grzuRp976nzK4yF0zyH4DfD7GYKPVBjU26gMgqBayV9vGo0wrqAjmGC6WdU
qKamr0Zei4uhdpJLYUvm0Hk7hN1S1EQorSIUHxWrQXaRfhP6b9L1IwCf7oPWme566NzLEFzRGo3a
gF4q6HiYgcqRo5YfZ/KX2as5N70OccFqxmYVDbXPXDk9DhVrxjobyQir6sVQd4hgA/vJdW9TfvOr
Rmhy5U1defCt3D2FNdPdSZL5krnVm01OP9riOeaVY5ZsO3c6ACY+xznbRnN0kRZEMs1ZeJ311ZuY
AuJxkXSnKOtDTb9FNvtsWfULuSr0rOluSPsPrx3PuSPTTRSSrIcK+NlMxSZ2vZdq1hbC7wgRMahx
iLND/Nth+UoZg3ahs5rnZJnCD04b80vh9tO2blBclMPzgPjKsfua8al46XpSYVt+zdmIb9x7NMru
wRHlo0OU1yKY0tspny/KYNz1DdNtbUwfo3jeJyOv6DSdhrDYRgVBInru3vS9PLO6fJ5i57JK7aVv
D48jiXbGWB0STw6bwQ44LHQI9DbDbjd7kU0CJiR1twA+EZjlDZlcfkLgyEQFS2LCMnXcW0PyW+ty
pvFR6d2hTD/0FtES0IYAKMfHJsQ5p+FZSBLZ76o0enQASS0Y7u2cwlpz3KAVmk5WyU9PRtWFLzyS
W6KD0TvPQT2sQrBItZ+dLfJOGREuSAFnrW9mrxoGGQizO5FLVCUifNX77MBnvUrkhEDZDA62mK+7
WufbtLtDqmu71nFfQgZyAxExdj/chra3Yv0jN+gIqkWRxFe6PX3gSCOtgqmcbpMaaMrkFDj5tgmb
u6LsUdSU1Q4CZLPD9jNf4KJEWGheiDZ5ccOKhA8g0KZZ9Zuy0I1FZdvjFZss8n7byFpnfvtUEtSx
0XT/jMkNt1rZNMopjI8rngpCvNzPBHEXLHoj7WmsXZ4Xph7rGZ3OwrKT/AuMSm9lWkVMAsZsnsa4
+4dgFUqQwAap4lKFIOr4C1rHyByjKMpQu0zTe3wdWfBmO9sfSkBmqtAqy/+Uoriq0I51/+//KAfn
n6kKqsr5+Uv80gPOPMVuxt74UlepOd5Z1GcYK3//NX5Obvj+NVzlmCEiwrGY0P1YSZmmmPEjJ9FZ
B1Xo49fsL6bpDsDk338Zpnl/+VEcilYbzxBRWl+z7X+YwUVVOlteNkRnwYy+SZmEmLyHzb2wr8bB
wGKB8835BsP619usBM5/20qQYbt4bd9+n2L7g7CbhDWGGTazBpTa38azfzQS+iccyjp5tOx1lQ/6
zyGI84nXlT2v76oAEcYdfzYSlgpfQ0qkxhYqzM3+J6vlvzQS6MMBHSAgZxBCWvkvj6YVE9HXUxtc
xuAwu8tpev7hY/nN6/WblFxU6IxZHAvYV4CH+pdWRYSd3YfOJC6FJJEfTMAMLiAPUdi0/QfOihW7
4mRV2Mh2DK3ck8axa5sUb0ONF1qBCHB6bUuvZb9NupqIN3ZXf9Fyg6ltcCEc1B1dzxUs4/xsDAaY
A2voG+scAV5VcVFAvfkQl06MnglP2CwhvuvOflKH1ejo7FbU+TWro8xWh1pj5iGWMg46G6k0qFMO
v1Qdg0FmfxbqYKRSjJZ4lpqjoY7NyPDPXu1p65wTlfmztWZ6TiqLOm7TaTQWljqCDXUYz215HDid
M05px4QiqY7tUR3gOSc5aR9y1XK2h5zxFme9j26EIU75oqlrwOA+YEt+JncJlUgh5YbZzyqq+1uP
IH2Nu8RqUPlwt5S1OPTqsiG87XrK/ANGmHIRSYTJ3EuN572GxjDiwUFhGmgrkSWvvbrKOqU65m7L
ydbVuOtYjOOCMZ9BvAL09nbEJFzY6nJszeGUg/F2uTXbutm56hqt7OAhVRerzPKrVl21HXduz91b
N6aSn6YHW7PvenU9m+qitiSLU3V1x+oSF9zms7rWHXXBh9z0urryK+5+QQ0wUgvwu2BeU9LOYUY4
wNFcAih+tIH7jtQRLvVER11Bn3UTq0JDUHF49nCKqUAq1PIR4rJ4YKNYUKPkA9tRM791VfHSp/kj
ApwHg6rGDcWmosrxpcOuun3Bjl8vUPUQQdY9V/zw7MUmPDzyC3ZCFfS6xKoGE2O6qMfUR3Ee1Ui3
sW/1XwsuKLERFRhvwSZN0ucoZB0xdX260YTgsWk+Zqo3H8eUTTUnWv1Zo7rrPEK0Muq9gbpPd/I3
qepAVRDGVIZZqiiPqli0NY94TUJoakEZmWAS0guEwQYbDU0Vm770nBNlfnlIiNFD8mWgYaM4pUYV
qljVzJY9hypgZTre6lS0mqC0NVWR6zQTxbbh3EyqABaqFCYNRNkDrY4WmkLZtJNwPVI7Rz1FdEI1
rauyOlAFdqtK7fhr1T18rcCLr9V4MWvhrHanyeWkyvWmdvVVwEexsLI6WrbfyvoqXtkxSam50PR1
L1HllaoRqFCNMugT+pE5IyTe2WSl1B77fjrXds2cQUz2wrAQextm0+3oI9N1lIgLQuZZcWZ1uTWk
Q6qQJPV6Mo2FsPN6XfVNhZshyc8eCndYtVp3TQg0JOiw/uzI+aENrVcva3acb0wUjWIZGFzcc65d
hJlJIkPOfCBzHeZ8eUUD7JB4Q4cZ5o8Cvu44tOMSV83ZhkPKybJsU3sFVVKsqro8eo3HgWjwTXvj
dSnIrq89lbE8H+Bw7FCQk5fHPIJqASMHGbbxSc/1x6wl2FbohxFLzbacshc7RXDTJT0RjaF7NHoA
uqGdeG/1qJlL3LQwt+1mLO4yoxg3AzoIC/HZ0pJElcW+pH9IkvYk/ezSMpm/BN210aDnyTu6Loit
Smmz4sjbm0YoyD9z230+D/cq8K0wi6XA8JdDgxHxeh77IuDMEYdRd6uXkhwLzl/tg4gkwpoEEel8
ObRxtWufyfdu5yU5bAOtSzxsAbbOW47++DFs+AqmyO9KcqJwy+jBQcwtQv80QiLqoPH3LB9tP4se
u/LunAYGzMJO6cALE+HJbIeoIrPmzg3nO7905JMMSwgBgrgdR0QMasZp09PUbWt9KLfV3FRLhuXN
oh0c8dQmub+Z/DmRS8KdySO2435nDwwfshEBsF+QeFBUz+6A8mYkbdCbcRpWZ332Dlkz3+sIhAcS
FEjui+9Fbt75ogmO0zwN+0pD/VOF+bysBWlNta4/I8q0Vow3midBTsGKZFC5yGIedAIkyc0KrScT
JcBtaDrThqBlOkAG9N9UgZ+n/xu9V7+5nv9S/VpUGCpfBWBEAAVUlZQ/lIwkLpCxEqXlZZ+lK0SH
e8cdr8e22/x9FWD+/uug6XZIQ+O1/7UI6D1ZZKxNLos8P2HjvudUuvJBcHNctotxDvgFzPluAG6f
+9muM+OLGNeOb5ZHTqoLh0irNMiuMQjfEIaxtmKxFEG/YLT4XgkXAxOvgC39S1f/b2CV337nDqgN
A9SMBRTq50/IKUSV9EFWXo6EI0YzkPECC9PF338+gZKT/9yFwNBSnY7PJ+TwoP/8VWjj67nIxHBZ
R5jmcHrvmZ/YzAAb7g2IuQrc/KSRyH4Nk5HZnr4f/ZFkjpmEMaW8k2kBdVmKaxFbwW3JrSSq4ZJg
LrpL4mWWDrZh5cO7TLTkMIUIokaT98YtaEjmANoRcufXrAciRVT4ViJrDTvDXcd5kq2z3vqssTwG
GASS22rcxcw2bVk1+JFidN5cRZQ2sbtvpPmOdel18nBeObrKts1PsyQ43fNmbacbY3rS47pYyAkJ
emQgGo+DlFj4JHoIhVHcNSNzs8Agb7yo8U67db9zjXE9VFxxhuIQpB45Irp5dnSvXE0SS4dh5Reh
/irA+DjennPx2ddQ4nik9c+p/ZxDy8YAhiOpxrVuMSaSNqXHxGu28iKCU5k77doe6H1hTITCDa9Z
YsafyUff6m5TrLw8hoIjidnpmk1i4VjHQX5TuG6OeN+A/iWnY+N1p79/HIgy+s3z8P/ZO4/lyK2s
3b7KjTuHAt4M7iSBRPpk0hXJmiBYJAvemwPg6e9CqVtiUfpZofinGnWHJDKTaY7Z+9tr8YUkn2FQ
fXeW9uj77yVmwrLg33Vn8vzPmtOCyQf2czalGrZbG30NW4YeGV13FXOEpp9hQ9KyE68Ko1fEnLZq
2J4gtWFGUE9GaT9qehH5LaE1v+9lfZcbKgq1mGIoqUl7LZd6vqUPBj5YwfJjNzAGdBYiOS8LRhHr
2zAnYa5ELcU/JCqrjt5mUdW+mc8vTWk+E141KGuWltvk6r2pTpydqe1rneIxrUR3EVAmSBXzkZFJ
nBjqK3RLoMWCZcDJtmYx3gVOcrSGxq2hA5vMNc0jM1STemsMwylNots6Nm5yiwmLqXu0U1DqnBvl
tVn3nAXrYd32xPHtZcJOIxUqByo7hyk9S3wm3MrRnhRNelQi4Id1N2vrCE37MEvg8sZyrejNRpaT
nVMMa5VoJ7uRp6ed7Nq2OFgNs4nK0LLNLzMG3Z22JBrgeLakUjQhv9Ra81wA8yHReYKi5KXAy6CK
Ha3C9AXkm8iKydwx+KE68TXChXQ32fO6JIhpZtDQKg40pRlyL+HLOEjOtai771DUAoYnlqmTxO+6
HrUGkEGVzrSimEcTOHusMahnA6xZ6+FM7ZATatrTIVWCdaqIhxI6TCjFFyOCsBOVvpoClGIXj0TI
oF/2RKHSr0P0ijtd9xSFXTMLhN+xvUOCq7xeqhMvS6VNIuzDjD/LcojDCIU6fgvabjWrip/A/zOE
fQlsZYuUnXHG+ojFnVNvl0lXWQUBacqsvR6KQ/UjKrwMTDJPqLhCZmirYgau5ZaQmaT183XZWwA5
xMU01hZ4Wtg7+eibuOz0LdqFh0qWGLOTT6YBw2kM9GMSiXY1BEFwgApuuS14G8z0QbERw+xVnBu2
xAlbbzKp3w2cQqwSzoZFrGUIGuUXW9svvqnLSPf7b6oaORNTmWkPsRE6d3vK6UOPw1JlvUqbk8KN
5fO14eck+FJLosP458qAxenD45FCKHJWhrJ8g+o3jDcgM4vwkTmXzx/I+Gs5iTl0cKgoF4mJ6cay
M747G4gWsl4iDyPEwIlscDy2bhyodwasxl1USnzmxgGmdAy6UpGVk12TkTaTktxBwnyO4Pe69Eq+
M851PRYanS2t/yLF5VUpW7fY+8AqJG7XqrcjRVyv6EI/7+KvRaI/SFFW3YQ9rQkDZsEmN/qld4DL
hdSRAkuSI96m6DTrgcrqbTWTCtWMfa91u1hTiU1MO6NyrkSKaoNt25JAXqhYMXppQUC7Y6U85FWz
jrNgJyqwSNlorzojf57lyXAzET7VJLgf1IV5pWKO+8Wr+nO95fe37/2LupQK372oqUmvq4EEfLbH
r9H8bbJ/Iaf/1e//sHFAqOOMHKYTPJtbWJ6k5O5/8bHgCX48qbz7A350jd/9AbmZp3KqhtPZUC+M
IK14meRocj9/kL8WTJePnk0wiNauYZsfPnqj1VJM1vkrHFDg3Usncs4k9/Fo/eLdUH/+jJMzQqtG
BFLhC0VIkpPpz2/HlMRMiM6VeuYY88Km5t1lfuBJa6Zd3YdVsXrYme5w/HYTu9GXcf1M9fsb3+h2
q+0+/4MXOdxfXtZ3X+sfT/Tdy+oMsVMtssxz5w+e7DKhfdtv8mvYQmvHzRpf2fA6+3iPVkzhrx2v
IqN3Ll4+fxbG3z2Ld2+u8WHMJAvazFYbXvfHcaeurVXnOxdrddXqOCk3D4Z7NL1845wjf9wWt8b2
jijUZtyy7q3mTemsGHlcMRfoScd+W2zaqwgrzSr0vpSr/iy708bYObvyILbNfe7ffv7UP2S5/vrF
+nCCltQ2zioJl6exov/qt2+VX90pXu1iYfAiD0C4n+/LzeXluO53hsuFPdkzJblPzswAuwFSy9Vr
4H75/Fmpy+r/2bflw+4QxyVuY5NnFe2cVeTO23wT3BUMeEGZXdGwXTUuncqNfa636lcKaevPH3/5
+P714f/8Hn1YbVhqpKmtiHDIc7m2hDjMUnoeern8xaa0rCqfPc6HVceObW0Y5gyRativBvEij1vB
lCjMDZmUVOV//lf9/Rr3x1/18TIp0fvSjDrpzxGYhSm4qcLr/90DfLjzaaPNWEvOBQrXg5pQB3Qs
7/NH+MUb89F4IuWVXVgTX7SyOhMi8ysVHJL9i3flV6/Th8WtVTLUD1bSncflXZkzyCCJ+7/7Oz58
wHo4CX3R5tNZ4AmLzTPwNBeR1OcP8otPl/VhVTKDUJoozrEbjKarO8U6zborTetdC9tBItTzgCbr
84f82/dnsQ6SXsWX+ZFwZ2tgJqu46896/r1J/FTDMGtuPn+Mv3173j3Ghy9NFjqtVEf6eIZPRf3+
Os9/UVX41QN8WBLnNB+1pKyHs8yiTfc/1bJfvEw/9sfPvvjLhvJu24pimj5BxueYuwEC43A/bNMT
VwR3D3N0TSdylf+eXfwfK1YM8n++1ix/9buHJOkOZEWN2KMeKQwXrKo4qlZANp7J6uyG1WXGqsHW
baxzV1nZ19Lqplsvu/rlqb5oe27t4B/WjPptCzfa/Orp/e1G/v7o8uHDaseNkJWAL51ytWzk0qrd
ZPquUNxVutG9h2K1l1fT4TvBLfD999NBrMQvVi91WZ4+e1M+vO+D1JpR7UycJTzMLx7SGtVcOYfM
u3HO5pH5du8Jq8mqoGLrN5tqY7vSL1boXz2FHzSpd2+SBFpML0TVnSGMrUaPymbyaviKZx36t3GL
5vtobaSN9D180txxk15BHHv7/Nv14+L1yatgfficpIOGH7Hgo8mItY86aBUvp7pd6t4Nu3G3i5dD
yxma8IPsl17uVxvrwqya16+jHSTCr9kvVsofF7O/PJ8/v+7Gh6OALTn0hgqWlHqtb8wNqqXRJ194
jA/K6iXcwT5x7V21pah3HF3rfm1zOkD2skn929hbDgn/ORz827rX+MB/2rr/P6dnCHlkfQsi5dPu
9f/93//Eh/nB/+Z/UX4wu6CbJqRVW9aXyvgfbXvGEFSASAYuZUra7/O/1m8MVanU1A0Y5IuB+c+2
vfUb7hD6FURA/rkz7eelnXsL4naV0XNKxYQL1I/jVtS7+jo3J3Ell5cm1NdURr13L8rl9w/m+1wM
z/T9ImIwBWKSU5eNBcTiGPqH3QmkUqr1Fk3KVk/IZH2R5CvHuG71rRKQJmHoeP354xFc+MUjLs/o
3ZqhMrAb03fvr5KKu7o9LUjSqS3VHChD2dKVKO390GEwMFNA1a3pmwmMszqgnL3u8o74Go7Prxgk
1Z2pMYA51fgqlbbUVpodHQ1UlsXitKyQWw5S+t0ZpceCs0qpqDoVIhgfSUhPqqD2S8s+Ynx58WXm
izlTZ+9vF5emwR3SD8k3b4JppDS6ODetxb7JZAOYaDUmyo/UCUGnPQwH7p7lyoqHo4TCswmTeJUH
9jL62Xn6RDWbVksA1ZxAn7YtS+UyRGS8qJAWiOZWKarQEmVor0n3DQAulEhfh1m7jKhFBwvHqIKb
KEY6qlf2PoqNESx6KXypalpMMNOJmtp8a3VMxDEExwjYbQnLamvWFcNiRb2tzUjqrudK5x/0eTOW
V1moHzuS4Gf4dYyw0Ur3iGvXjI3aR5MZFEnPj8yB78aUeRQnoLmQnqfZfIBFAnqM8aqVo6EcVeMX
3ZBfM/Bra2Hop7HS9wGmsSGtjl0g1n0/7dCsXeS5douAiNxIBGIaj70NeL2bc9kNDXFoB/mhRkKj
68z658V8b2QU+4N8Ss9xX1yKtEPAwVjFnO7lMrVWI41k0sNA7uoRvXE7ANHQp2zdJtY9UzdMgkty
6Kt5BbC3Fx10KRViIbDdY4Zfy29t9ZDlr44krvTIvmn7hto+k0GrKOLqXeX7IIsvfSHdiqGgz8Lb
gm5rbccO47ndqxUxcaKYCYBvsXb6vOfaq3g0ezw9ma67vqRiAPjWFPpGNIMvMybSkabLFdkry/IW
//ElD2oUeyPj4l2WDjfjFN2YgbJrgAXblf2I+tylq9LcUQqF8RA33wtt4NPkgM6iQzsDONZRmCjp
8CaL8FD0Jrh5xAGsYDs1x6ysaTEZfQH4NLyggz7pRoJCI9+MsrHOKL72Y3Bo25JYIq3yufOMVjqT
nPNUxpRZKK4nIAFQEECqa3rgw9j5ojftQi7PwfHBTyiMbNqm+BV3TQaBJubCoU3SPm3nO8b/oBll
3TluyttkAAKYEEbrQe+4va0+O33ynFj2qawzkhEJmh/GuifaTwJaTTDY2x/LzL+bns4p8NNNb3Gu
M/r0111v+ck/dj3lN4PpTQN1Bqk0hkx+2vU0BeoHY742d2/MGn9M7FkgycGAU5rGg75Usf7c9VCu
s4eotqUwXkcZ+B9xUGgb/bRH8JtsmYY00VONoOPyVH7eI5xAol1i29VVMcZoEiYTO4UKqCkbi4e4
0ew1AyoKuUfYSVlqkV03ul1tKN8H5NmrMs/FXjDvB5WUdncn99uwDNd0DwjwNOwTZUHHZYHZJVby
TQQN9BAm7Vh5GbvPuqFYW4wXUM+YnAtxsnujATFRC20CDjwfuc3fh2FXunL8ECTaHaru4spaYBrl
gtXoF8CGzPzDPoe5EegAKFPHucbYPa5G7LjQTno/VBHmFphzOZUckmqcfHks1lI73tQ4dsdFtsv0
yXnAb8QYycZYdLyDgcDIam6hPLPUT+WpNVD3hp22SWUngmXcvkyL3heo6rC2ZpS/Gu5fQOO3UI78
aJECO3qzapsm3g34ghUlsliKBLfqhQY5czQdF7/wCF50MQ6PtJq8rFn4X/NNEC5W4sVPbC2m4iwG
AJIjL0bGs3cWm3GC1nhGb5wsnuO4JicWlvFGzDiQ68WGLC1eZGUxJPez5vcok7XFnUzrkKDHklPv
tJukskBsvarIli1+Xb/Yl+PFwxwp7XME4ASQF4ASHVlzslibGSogdWeCfFmMztPidjaRPNulc8Os
Unmpc+VULx5oma4ywSXc0Bzb1M2sqnc67WrsZY5nI5KuFqM0vvQtJtbYM5FNy8tCjpnKD9BQt2V3
EWipuwxcIZrqcvFVK0b84OgYrIvFZR0sVmsHvfWM5nqqp0cV7TUa8a/64sHOteFmWMzYCopsHnmE
y5m9DRb2bAhs8OWViQghoPkAxbbDGPhx0JpvymLfJjip7rC7mF8jKbfW2FQdFGtFW6PbJv/CAalJ
huocDpK1r5bj0/jjJGX9OFVpVS2BhrBf2VvEfjA0mOaW31TjdhmlngwNIlvQPDk6BA2ybJx/Kh6C
7mrVY00SVF16g5fYDoONlEfzvVaVykpXJ+FqlXVr1+ahU6a3LKpTjwj3TRZE4cGch/WcQwqPhKc4
CUUck8wOLezXZK6cXVdar6NlhZzVYMEYaA8hm7TXpLN4iZtTwCnEY8Ch2pcW5llapCjOmKUq54XW
bQMLGid+YsSqRkF/oj8ZfM+q4ELKqPf0vJOvhqhHQ9WD3A3m7FCrhbyeafFvw55gHLk4HKd7kaiM
wpN4TGCRIlHpumOkS2RERWO8yXKQ3pWyXpEdtBmoULKI9Oe/u9OPcXKdwtAnu1P03HbPf7Mz8VPv
diYNpBb1JAATzg/vxR/3MQ1xI0wriJAyTaN3s+S68pti07lkv7IXbORyVfvPPCbobLA4ZKx+xKuX
3M0/iVEbH8oNyz1JZ3NkmyPfzwXQYXv86fayPHiV1RkGRSvBWkBMQtHFFwYEscnV0lUVcUNAxX5K
M3VknUZhNsFntWeUDcNoE2NahjucO456mQvc314AsYhmQlZuW9vaWe+bXbAGFbsVgv/FbLgSxJLp
ij61RgfHmWOWRpC2HbHUW8lp6vo3K4nWwtHW6IKI6CgVy57+YjJcGU5OTKalTF0pzvttUjXbxnEO
LbNmpWr4s4qmjejMSjGGo6mW9xZXPqGSupoaPd5Es/qcNbLPcOpjJA+GbwVBz+AkGb6GAJHL4D+Z
PLPdGyNhXRvtdacy16Yl6zRKbvFqVEAPNYI91XhdwOdatXblC3OB+PPkDpqlEly0BV/MQilWrG9X
jpa9goOuNpNK8CUOMUNKU3CH2pmvOfIeuRASi0lySvWx9GKmuKEpV5kbVRY6oLGcCFTYa2DP+8jo
mF4U2X1nNBKj1oXX2yVmJaYPC9vZw/sIVwRvTk6h3tVRv1G78Zp7nrTul6Ey5jg28mwDZl6GHNXi
eoyI+uq285Qkyg29FtalgBwM/N/cnUztbs7jp7SoPZGxngMfYtwojo86aKWklr9j2jC3pLPBD8X9
tIb+TaIp0K77LnqIEp5/iMUPcMkihK30bW8yZlYVmg5oqn8rk3RHisITIbbDmJQn5luT0wePI48t
jRGn4EQTPUL1vBkbZJGlXXFZ0PpNGNI4qQssEh3hL0+AxSXY1Tmekqf6Ji/7q7K0mesKeN9bBIDK
WJMsrp6UPj52SXxsYifeSQTfXcNkY9RVYkdOO6m4vDXkA121CbTyDDfgSG7H4sjSEj9v47OclE91
Usd+nRE96uMGC1TBvYgnSnKDFmw2bGtFvqhq61aGWMb9QRWE/a4tqvteGjZlWwAqKn2ocmgZ8hia
aTs4a90UgGUyYqa2PDwyKvbWDir66nEj4gp/eVFniyOLnCZ/1WRdSq7gbuoMt3aa+Z28rykEDqdA
iv1JdsiJF1eKUVzUgRCuMV9JPdOUwwSVbDk69n1Dti6aPXUm0WpyvuEDGgeuKUG6r7kKlwW/lIRG
5ZJXzknncBnL5eF7lI6pN+Yamd/lRqSl7bcxYXKqtL9bydiTEK0TN+gdZ6MUxi5SiJrP0LYaQExa
vLILh9S5NHJcHbXAJU4jfEeyuXAzsxmOEaqaIE38fNBfe4NBvT5KX0tteKzn/gVqXkLmiFhcqInL
1CfUAGAruFNndvRS1IHxiL5Qm4MaZt2BtWdh21cWwOe6VqFTdzuj4BLpawxTGvdYLW17EwGf3fR4
2Pku1QWwaWtsZoifuFbXdiHpgFgHVbO3GP4m8vMa8NKzVORTf+vIudLdCqeRtEM/9vSDDSh0j2D1
1eEq7aptGXL4qxJu76We6n4cG+GqBqWtNOFNCwrQ7dJxr+tF7zdSM25syTwY1ggXkCF+wsjmS12W
LcUAE1ZWoj+mEpj+aGCmWJFnc6+VfJjTwk5X/OeU4o3yaxXoz8D5VK+zmaQgGP0dkQYha1B9ELkF
M7HyQH6tY9RkSsfThJp6jB26QpV00ovmWgr6Q26XX4dYADpjGmHEd94qzHCHlZG5rTbuGYQ0ZMGY
pFU9x2l5Yy74xk6FtK2ZCqe5jvi9mpyD1jlKyfSURer3WZH5LaHxPR3yL6BwPGneq9OYeLrBcHLY
3KSYBlBtywzHeiPItsg6yWlGnn4snwk17CKwYZiV6JnVgL1WfBjPppUytWE43EQk6RrwgeoJy5gp
wvQn8i9UrMbA5VWotlZRU0Zhdnmj6QNrO/xdYmAW5iAGFpnIu+tSbzbCB7UBNGITQfciiTuVnTqC
B296jKjOVpvJic4QlD1NxAwi25SZ8rES2MDFsbI7Ar72QKpWsa5iUZz6zII/jDjVYR68zVvOZt2z
6YhpDVr/duLmwwmS21ngsIFAlrsPejQBvSgeyqzcJxJuequfH8lcMyTUmzqfAYCqoGYktym7t9Zx
7lmgfbnKjmkedSs11LY0yO4ZFN1IsTVikZN33Ocug13dOEb5LWajI5wvn3WZcWtcie5Q6MEmmJUG
X02zC6WBLaET4QpkZ8KwebpzjGmZ4S/cxFbrTWvEwo31lqGU/sJJxEcn+WXIlW2V4qvSewYIpl4f
16mMhA++dc2UUUBnJOTfWlxVPLx8m0KSlI1JRXLX8YK6EGuu5KpNGCTs9n3BVbA2nb3VjvcMEcnM
/LMJsmT5UjyHG0kohwyysjsJztYN37RDqKgXU0EVK7VVveoKOd/NKgR48nRQ6LU6cBNLIxkYX6I+
oexbMidSUFNjkWOBM8R2zlW+EoZ9USGvEEPUclKe40tRhg+05WEDWy+EbF9GU/arFktEGj5C1TW9
Du9zkFePcmlvNb25FRTdiGsyuj6lrpxFB7URzyGMm95S35wUaE4fXyOwwSXWybeFvizikuGz1ke/
92b+LQot1JJPjt3xW9P83bGbn/rj2L2Y6CDPwbk1mOH7qSAEwt2g2cEJk5AgSIE/C0LObwDnbMsG
HkLR9ycMCu5WR6F1sUwCMKkKku4fYFD+htPO4CLZRLDvzEKqzsf45axFeaSWsXyl2QTOg3yGRaJ8
LcNXNFUzjrpVg6EqXlRVsXDUo6j4541qXZn4rPq68plYusnwXHESAyshjZs2jR6LxtjUFB20wj5V
iyKrtZ4UU2dWCnfWjEOrM6yWEw3FUjXs76uxuMOKDtbWkTO3rpXOk+PqKcDKZWLnMnAi5Ni65oiL
PvYuVZcgoeDzioxiTSTDctM53rY0dFYJ7i8ltLZikYGRQl6q/U+gOu9nbGGoUx+ZDM2hQ6vfJVa9
uum/MNTDWD+mscaR/BnzWOxwxuQv21QOxjqOVsTDO3OlBex4FuayLgZFIrFIhThPLNxmTTvYnGvt
L7XgYrIgSHfzokITgX5I5IyRdSFtTRFTpiG5CIwO2oZOPOyHUc28EVV/MyFlvs9wrmWLfM0EiB1G
8gMeXAS5oN4qeTyFi7BNhIxJGjjcugFO94jVTcfuBi0KNgO+t0l5BfTxNcQCN9mGYMwAUwP3AIYa
Cd5ntXbKcMdpi0SOQev7H+A/ISOYk6hJd4tybhKDSZFt2ibY6AhwryvsdH3LaxaGCOvE7/K6NFlM
dt3YKdE6QIe5QWBqjAAvYoLneiV3u9K2w3VnORMDSB2chrqUG85tP0Q7bbtId7KhFrukM9SONXrR
8ow/FD25WjKekenACiMq+pXugDetKcpg+CkW1Y+0SH80HaELk/n8PwG4Ym5fmDrUXSetvy+1T47u
iTctGiFrEQqFBiNBczUdLM06S5Fqu51a8TtkzppS9JiN+lNhIygaxuGWAg0CoEVepNfGa4LNiCPD
29xRUR/wHIUm7iIN7CyxXgC7gIOaRYqULHok3Rgu4w9hkpNu9ah5slOj86HbZmsDu9LUQcaqdIAy
yDJeaZgs+Gkx8snh3lDECJrkRdWUhdI5fMoGr8DhVIzJq47WyUDvpEIioUx6MItik5TV9aBxN+VM
fF8tPlUTRRTkFWQn9KtC2XwIFtiZwT+xCbSHc30do5madKk9ivapMAz845NUHmBJzrHHrxoXt50n
0dWibsORXIoYYWtGMKyCwQ/YMjf4CcJdGkWH2SzOc1Ptx6L6blL6xK83cJmtp7R5+bec86OcY1Dd
+J/3lbs+e26Ia3xsry8/9d99Bf4fQAfwWUyGKzRC3zUaGJhnPQe6ZfzArS/dhP+iAc3fIPXBBYQP
+N9Kz3/xWsZvFF2YLKMzASIdafg/2lfsn4ObhmzCeld0mefAWD44rw+NBpBVcl1wEz7PWckgE/iT
ZuLWlqYdgscBvFKTLRdkUMNlcIpRPnuGIrAAFcOFwfOdRadi1RrwFxymTrBAHjhMnSYLPkhJl1iW
09eBS4UrlQMjJxK9rkCoJ2xFDA7IZujm7dLikB/EbH5VW/3RqdFi2ZGj+wEWKzSVs5/pkgSqKWIl
gSSI4qdZxVXyxbCLr9VU3g9RTAG8Q0odmCayz25X0CPpHOkhKABGQbqgJ3ga0ujIuve1Le0ceqZ1
4ab2kkH4xGsI3Imet7lhoSI1VT7lE+OHcEgoSHWc2OpMwB0R95NKmj7shK/rNA7VBC2rLuKMTcZ+
rSOQxoQpj22X3YliJuICXdtI7Rt0pa/ohS8svKgWKIWt5DDp1oEQZ7saHhE7vqCOfgpq9aotixed
gIbbp0247gsBaMnKL2GFA4NhOT0Jv2Yq48ZVZjPAZKaYjavyRSgO52Co0vlEV7hSGVefQDn7cc2Y
EcG/Y9cyC68HzE5k3hxXjT/RPpcbgeTc2S7AHyDSmLiSNytv7jQYWYE2P+bhnHuyxZPkTXJkdE9C
ANtXZSxP6libWO3aU+SM37PEKT1IPZsS56XbNwlqEVl90EPjRu8A79txeqeH6vdeNYfdFC8/bvS9
D5n1MZcAXpURi6Jh+n0Hvijou2TDsvZESiH11aqnim7I6PQwZ3PaMFayzrI3p75sMYpHC29TdxFk
gpQp7b7iXcMWwxyyYXq9TnmohiplAv3fBG11iIO83i/DmXAYmM02xHxjMf0mCsPva71G7RdwVkjR
VMndSM1/bhkO6vnEGZaQXHvmQzy1vIe5WoVr0cy3oNh41MIGQzT4gdzfzra2jwUVO0tFcdXWQeiF
Ga0dQFYvXTk+2tgbQCZW32SlRIZVBm4jxhFKQ0xcoaF9JkVbGe2tJ1m0wWW5ZApMxv0Z98wjSc4W
L84EtNx+y5P6yBUT12mbVGtG0HdmOE2e2tO5C3OsvrVBFKHhbtlRCzG17lvbO5UrNwoa17maL/lo
qge9SJkt5Cgc7jLViTQvTcWDajN2vW6kNoq/8DIE3ZXaWXT7zdjQfBP9aHFnMR9WesxizRpQ+myZ
zbNz6wK6MjYvUw3RR6vH8InZ3nWb8RFaLbzIc8WYddKZyDbZS2Uj3EaWE95GtbzAzYzxGtocKsQ6
xsNiDRpzlTjovNGGsb/rLRlUWR2D4XFplWa51044g0V2XZbmWAMF1dTHVMhyfMpAQrDOZBHtO9N6
kUOQ925qTg1nDDpYDpTQVDfqdRyrVngnd1bWPqnBEHKr12YV3pacm8FXWGqRfpJh4UsrFKx99e81
7Pdcmc7u8T9vl7cw/uOp7P+6YS4/998NE+gki9wChYH0TfSMXfFd/8NSHHCTv1+23m2YOiE2melL
mbI5HX22svf9D8fh+gVDkm1OWdSh/+AihmeL/saf8cal/0FcgBsfMBXd5Kl86H8AB2CIuTHLy9jI
1DkGnQ94pZOx1AWfaQpCw4RYqpcFVzXNkA9yllPbN2Mr3WHYKh/jPGhPLF3jqtW0+jahfrM1xr49
izSoXqtugXlknOajzJpoIisgyyryOvTyqcVf2ibvruqEiV9JNqGtMDRvMxmtsLQXQXFO2SxwekY3
05gZV6ECAFANI7GZ4f7ed/ZkcGKlhS5Yg09dG1k7ZjnBSVu9lPqKgdiKwWLCQFqrvkF4yB4NOSu2
odFy8q2C9nlAcLZGyoCNuXHExkpEcwAGWV0L+pwZmgWfFFnlDWgZkDdIhT68lG0Y6QelCOYJHkGZ
9sApul5600Mnic4oA/qaO1FbNFdWRNXeCpUxuo0Sh2Kb6MEVzNSClm0IzSVQyFCnj4+YEX5escoG
yA8eZ48sPphSQdcCUPD0LRnUGu0JEhQIHeOTKTLtGRa7UTIGaxZ+GJncwHrEWZ0o52fNMJYJYzWW
me3kGhaH+DCDagi/8UmKXbmY5+egjeY3Mx4fG6n2izDeSxat9FyhtCwMfAtSJQAu2Eo/bVKIC1Se
uumYlmPlGUzUE3vISxCNsQhjRpM7jWTcgOWd0tiDbsUkHRzlXqNOtq0k0FyRLIaVYTeMhCeteWsz
R77rJJTzGGvMMwxj2ePy5cgrtTPKu6CVc5oAmfNNYpvaaxnHtmrMr+AkS17TDeNmkIhVrEVW1503
BnH13ZJKTONVUNzQhFwsXhy9QspP3uxYyf1Idf1oJXpyIrSfPEGKKV0xL/y8dC6f5n6UDnx4Q1ez
CnFFkDB4tOdc3BdJQ2ChHAkGxmN1iQa8zAXE/swrdJ254rbVFbSSTtTRtzNaL+SUCR2/MMytOlAF
M2FPZ7g2RqFdE3axOSaVpvJWldXs10scy6HEtuoEo5f/Xl1+70QzovLJWlxmz8XfJIN1furdSkzG
iVlrCxrEh5KY+hvXbhswFySt5T7y59XFBl3O/YTlkb2YsZJ3yWDUhSSrljIbM7HWPwR6cTn5uBJD
Tl/EDjJXK5N88IeZHN3Ok4bS8nRld2FzsRLafxiWrMcy09X9JNL0aVI6y7e7QT6RQgkYDRoicivD
/MVyRHcbyWUG8VVh9XDKYG1JXbMu4joCnSmfsyxyTsMiNTMWvRlYa35+IEDtIWJbSAKESCT6qKM6
wz/vwKcAbkhfYowlgGNF4MkTd6AGXeLXPIrCPanUGY5Rl3gkMvAeke2ixzx9cdTajZYVKsitPYBd
m0VSEodiEbk1pWDGepG7jZl8RUyZ+cI4TV3HrHHi4oIj+8NcvaN1HFqTeWkzJMlbNSlCv+4KgIbz
HNJzq56iMQzWczBgxan2SUlxfUyKdKfOjgA8aamXUAm5ikzo07XG16vi2kCIso7lTtp0Zjjv57DX
9lEkW+tMyw6KVLc7IrmOB+lb36RZoa8HVQ2AWFBio43FhSOvyPuWw/XcJAXGxzbDhWXMGFXhgac2
Vq7QOScaS+8w8epIPXtWLCrNw1eoXLUQybzJEtWujtp9ryZfqVIizsu6YgkOJ2tQHGiU67lzQcRH
a6r/jZdJqewHprJNuCRMUhMixRk2eZdyvZv76nkow+Q0dvqblJYyJ70Q/KRB2kaQQyCEfGtq1nVu
hRrj3uNGHbIvKuUi56g7HcVVFTtfrVxK1f4ih61FFzneVdx6RlZhcPNwSyoexzRTaqeDHp7alr6o
VeSHVlPeDKPsoXyI24E4HqE9rhKpXOirPJevrNDZcv/ecOY9JqNzAg69iRQSwXMWIq0OOFIHiT+H
8VU+c30wu9x3dAgtszGdDLqSVSrdU55m/x91JFw4JeY++JqrzTdNAOZ0IvtltGDLGdN97bC/YQJk
8qJqIRgUEL7OdUoszFU1s3/R7YVMqhnwaoNyPDqCPZ8kYJweFe4nPZwKuk+VE2iehUP4GJpqvPt3
Mf59MWY66rPFmJTb3/Un+Kk/FmMVFvvSAKA/Yf1oJ7w/FoPaJMmKjoYjKQGfP+pINqlUlVTG/2fv
PJriyNY0/Fc6Zp+K9GYxEzGVZXEFCOQ2GQhQeu/z189zMN0gSpqrKRY1EZe7uNFCOpV18pjPvEZH
1YdI5qW6IocxjQnGopRO3Yc49g/CYrrZrw5jsK8yqo8gk2yZ2NhGZJHfvyA1xFmBvpocyVskTllA
hlhLmlhVVdQuOp0oSE69eC15DS1DxfnkNV0w80CjzA3D+t6kyUcL6dAZGo7ztmlknPjC78iibequ
PMG0Ds00PLxBQ6JOa3YNREXlW28N/qpW+/o4LctN2RGUTOFWa6RNytldx+NMqWqqKR4Wft1Ih9Sq
7XUWRouJsNHCW77pzZysezqPzdYTQliXqtZ8pfsrUcHNLsZYUtgq0pUUINTsdZQ2sLwl3TePk+hL
Eo7fep8aVWREl3WFbkNV1i663MepXIKsxUx0zHP1VC70bRBOaBwpeF3A6uiy9tiuvbvC6Y9DlbIX
0JcLfSg7wiEPjXA6lr4qfQWKt6D6rNwAdRWOtPZ8qqtPoSrf+aCdKP1opWsmyfVgSSAhsIfI8UqN
Y/t0TPxgofAdPDk+Dafipo7QBOu8OFxgkYiok1qijm54wF3BAlV2es3duIVp8w1JZHomlnoy2OWq
0eN85qBKi3SOsrRrHzleYxuryBNRO1m3vQLTfUIK0XSWbW+c4qy7khsbN0A7ukCIV6eHPJzY9UQh
20Ymwyu+hIGhuUTn9Bmc+FNZk99QZ/xiTP0x7sAVWs3pj9yuTlVF80+CGHRtQIMha0zU91pUYRp1
XXvUzevSv1KTaiMXARUBq3GOepNqA25Cd5lvffS9cdXG/bBI8/RozNUHbsn9oBeiIg6ZpvnMn62z
HBix3tk2QDD0F4OoOQdXlZw4Q3plnuQK5TXHouNLXZbigBfQcq9/0N5aR1a1Mrl13Kat/CV/8VRp
y0WRoxAnx12HvE39UemqVWTEX/VRWTk+h3JhG4DOqKA1OWo5WZZetFEwLss6XuoNjGUu58UYoIqH
eJZNn6yiH5dQMUmFOseorVQ/P44NHe9DKBgxAYke90dRgLJIUMH8w9YDtsVxAwwcxfnQGm9bP68+
BxDIcUZykNs388y6VAtYwD66yKl0IdPwu0S9iPaDMoTLRpOXSMSb6D55P2J/uPcMR0YADIyeXFpH
VjZ8qs3qexOTrxV5fsG9tZKC+EIBqo1guuGCQJwXAxZNmtVhYSxXSxvxFmSrdL4cWvsWUFZtiNZ5
M+iLwCNtdhJrcqOupnEWpnMqZEvNHG8oTc3LYfhme0RZznjNi0ZCJZIoHkonWRmsgljaZEiDmrHi
+lGCrKK3jtA8je0MKW14R6M+HWlF81kpK7TP0WdSUdnpUnIKLSS3CcsYZI2Kkre16sExpUXKC/nU
VNFqHNoldBu3w/0ulDxsoTMLIbx6HoTOlzRCIqiugpMOA7A54Ct8IlKznU1xtiYrO6NbdltDfZHx
CBwHC0t6AiStGE+RN9r0FWlfqspgj/qed4vyJ9XPtq5u26rbgn2e15F+JYc+0JmxOplii1IdbVM9
ZhfKoAzLQXGWWOZ+NFrvHt1CVmdHYkgF260RF6SZOrhSCZ9JS889eeqwSggRoATGb4edG+jtaW9l
x4MEkTiNE1f3bTTD2llj2muA5eA05ZVjtefApT7LarHxdISJOuK9OEo4/4ZMQlgsv9QQo3PDqdrq
Mk1IP1qLIn0RdmeeOV0BR0L7sbnw1PaoKjtE3+kbD/QWp0ldmma10CRlA2Spm1PpnjiFtaVjNMek
2EubUoHrADYuC/k76hwoXqrtNy3En5RahbZBifZcwZi78P0LZbJPHHvskHwEyGZO/ZFsxvgMg+FG
W5MWtBQ6G8032pUTDOdaIi3jZDxXHfuHpk4A1op5DRysrmwJyBXGZj3WRGNTnDeWfU3/I3BTw2jd
ITWcxRCpyZdY80bkZ7sfUd3ijCF/StqMjmh+EjjQmBAhv2wnFVxj9cPwkUlsleIsGGDiRtN1rKio
0XXxJ07gRZ0ZF5XkUa6Wna+SWX0eyuG4T6l/121qgSin36kADokR+x8o3sBv0puGY1wfN14JkhzE
ZImTolnX8acukXpA5+BGl9LU9K492ItEDjegRiMEx1Jqp3lwp3daOx+7fEC4UrlxpmmrVEjZEi5Q
mkbdCihbNPO08ofVEJM6DZT20OK4hPM3hwPxOY/U8zxVL8Hq4tyd6+jJ1bdAJeYNapWWNG5rE4Mi
lfOrQusTclR2PYzSp2LIr5KQNmqfafMiCamNwODsYkyV0C6EB0acn7RRe1EBslwY4IjXuvAcNb0u
xcNawYD+fyHTqyIXfFW1s0x6ZrJqYlpD6U7ESC/DExzpFH10NGerfExnX4xld166KGm6zs3VZX2K
GP8id5t1eEJDYB6s82VwRIk6Og0epRD+DcARtNnfBLjNDZ3x5Katd9R++Zd/B7nyB8JYC2Ue1Xyy
cfy79ktZmF8RzBqaMESj7PrcLBWRLFqSmKWBl6ZXxK+em6VwkYmaaW4LJxBLNf+IlYX/2s+rCK8j
mUewWS2k+jKP/nIVYX+gxdWQ5NuWmG06xZ3RiM7orkbqoiGEPedu6RoXj5kzoyjPW3IvnerrolLT
q05JyDeV9KRUq69wMY+SOrsM03DeSCrmL5F3ahvGKTsndjOrX/laR6Oqjk8oB36eouzeCethlndq
3dPPyC8Mf1oqKVzeAM3GFinEuapDRUya6JTqKuLFNgK0Wpcp31WMSDAE9pMlAty2siErqMIjXFQa
fxUrEtwUuXNMKLuFFiHUI4Hun5novlqhla5KyzkyE9RsrzSvgXrkpX3UIudNTfekisL6a9R7AMuR
IFCXXdtFE0FRdGzVmYl5t2PUICArQ5o7tV1BLsqsDr3+ypfLRUqN35+Bq/je4kg365Pss1Vw7NLj
wn8MB+4iNG8KDw86qy+Hi8hO+iX1j1PqK6Wr1o0+I/ZblJOHShS4/9zDsFr2PknVtGks6bIDYJl1
/QZSz7yTcCHoja3TmbSWC9OtEhUEe3hTgKtIWsKSvGlPUeaj+iwVa1tEYZWjXHattDEVvH298swW
NjBaNUulfo0JMPFmuqZ1fuI7KL2qw1mbV9/lsb50gmStRuY1mGtCD2vtKf7WxI96VibFx6QA6JKF
86SQV71RX1YNeNEBdI2pf06577HTunHsGgXgnjZZqqnYUv7IsETWE/NM69sFEGpY0JOr5PWpF9bn
Ttx8rWqsV1p7XkgKZtnB2ZSnWxtnG0hrZxks9npQP099ftqp0UzHC5l3CeYYTHUQnEUeptqaczxp
9ECb5ohMZgW/+JtqREvAVKcFnUM/R11avHrfgrNRKW6YKivbHE5Qi2wEEOyspW82ltFZZaoXuDi7
zSRdG4G2oTPMG0Z6FOeqTY2OIupJM8cr72GNkRskn0ljrnM5wJVYWnqFcYIX2VJtU9DzHYDzUTnp
dVyAeAjXyRQ8QJQTr5uOoKa4VdCc+BZXX8gNOgSbvIa4iJfRfWWpyAQOl9UYY2bud8YFZOJVaPbB
menpuOGp6bZKUMEkBiop9qs5ppmiYzMzhnIrm8ZJr7CkWkffJBDW3NLsKbHUzt3ooy01pFCsNCJI
/2IoG3M+AD/qcKuaa2X5rYlGlp9mzovCW5HNjUtJ876BnT/tnSFY2ml7hdkfMZBG1qM3NSKcE25Q
JM4zBDwsVwqAXRedlC3UQDn1dP1Sr0g7YaPDNBh441TPz6NCWtU67vZgZtcFkbAr1Va0JDg8baJ2
FXtgjwiNZfKlBauDt6VSIXTa+ryEK+9men0MQADJmrGGB46vsoeNQCmtFEgqqVmeFaoazvoyvS30
lJcxSRCja9y8vZHJaswLI7E3eRNpc8zHEAOIvXjmTTj+SUDwchkeIP169AXC4gSlcQgVhC80K740
QFlmo5qCYEuns1bRToc4vDM1MkHJVtdegfD0EAYY2EbdpZmpnzBVO5K4gW2pTZbJmNG8DvtTMCzA
u3ROACyvCtcpsnaull47g/1QLqN2PMmhj9LwDrdxXF53Zmu6WBFe+abBesdIIZMat8PYxkuYGpit
aPNX0TWBdOY6oXB/NKT+ZEJh9jgwiCn/Xdx6BEn9ttPwtf2+o7RlvO4z0LylckXpyFQeLFJf3PoE
AjKq3dS3xPX/z63vfDA1h3qYCOqeYoXnW9/+gGkgUF5+xT2t0yf+g9KWJv8MkeIzaGSYApCFpiT9
kNe3ftJUjTzkg7xtovwLZCNjZcaadKziITAD+1VQLO9zkUU5Z0OM/0EOexjBT/2oyg0IPxk8jFB3
jJOqgmyp2zHKA7256vr2Y2IPxWk1Sex7WZ819q2CngPpak9lv/Xmk9lvHM9ehlYhz9EaWLU1AgiZ
M6au1evXfVat9TDIrkrfb12/KG5NhGzztriuFL1wOarCmemXt8noxPO81jM43P16KIYBK648yC5k
zV4pka6fS5p57EFPWjS97LlpLyENiWMfTnwl5efmxmr9Wy+1scMaoZP6WL5u4OmkwEWlyyaxk3MH
mu4sNdlCCFGT2+JqP/dCU3d9CbpT5o3n9G2xznO0uzo0L7DXO7ObEJ5tEH8JVe2qyZ1iLkXqfREb
w8Kb/OsKLEtIm6GFbzRLJ2VNCnQHnCwD4xig3g+hTqZHiT1YmvnH0eRcKRFUHkO40lWqfFVYkTqb
eAlNUDRu4nlYszZ4ubY1PipW/YXuMtk8Qr1A/SEn6fK5negKNiDhReh0ClwnhMePxhE7Do6fHzI4
Shk8pT2Fx50AWGpRfdmaFKMGQ6b5X6W1a4HHjMwEjFqRzK2JkidqIZRLMkeFAO5guB3Dza7SRZjV
9tZRi3GVoNQy60xMEiHDI+9V3atlJ8+cyfIvpBZtjyk0bh0aBmflqP5IqOKbAL1pXwSR6pwlAU0O
iBEcwjGC4oi7xssMCMyRH+fbIK04NRN720s5rEmTjrE/5jircBTXCki3Sj2jvYokBhcClrRQ45U2
J8k0EEQeOsp3SvvNLIJPcRy3CC4gTa4G2RyUDPOGrfgsyaJ8Rn3vkwWcWPHy7yk0ac52/UjPpAvF
Ln7oAflwMKxatErcLDYrV24qbWMm5aYw06OhMdB11rajEm/BgwnLWMoxch59lnvv2kilet3EGNkG
knVdNT7eD4p64hUquvE2ThplmUbgLOTLdGyO5D5clXF0GYb+wmyTr71cfadvlyMVAu90rLszu4rb
eWVCoMvl7NSwmVxDl466REOlSvZSPMPHGDSvdQJb/tbGuWVeN+PnQlOBdCiIbNbgnbA4xnoBm4PY
m2SCGPmsT/rvAXO9MLXCczMzLAE+Fl+0rDh1SPpNO19G4ClQ+PduGxlDwQroo5T0JToneU7jqcU3
IS7d0cGUIxuNu0bUUksQ6qkdnZRepbphkdIwUlVU6OtvdlQeU5S9VuLpk4KHB8+H+oOOtkHvnFZD
lsx54Lk/dT0C8zFixSDM2km+rB3t29g4xRYIRYKgjzQcSfEobfK0r+YZeJMuRigBYEZQxJe2mRlu
kRIDUI/06o1nMcpUBcY6tfQF1j3tPNKkZJOm6kUkqxh/gpUBoVfT4Mut2EVSEsKPnXSu6ltbih9U
q3q8Or0gQZPeJ56HUTvzDPkWWvCTVOO/c2yhpPbrHPvqPrjZ1UQS/+rv/FoY+qqqQdeey/TB6fbv
m1Zwy+nzC7URqC6CUPOUX0MgJx8n5yXvJZV+gDA/37TOB1AwOLCBvRIN/T+7aQ1FaAa+qtIgQ2YI
0owQ/TIfrvuX+XWWULtJeIxt5wRxzRrTrn1DXkdZJh21iY8UlD65hiCjeV27GfpRmVGeMhdK5xw1
Rmy6BRyepR/hiCLl5aqNUq5LBYxubqaLqC1ufXVQFDBFyACBM81baa5J7aeapOhyTKN+ZVamhxTC
aG6iwUIIA0OtwuqqU5ps7czwVQSBLeV749U/ZLCq66LPzio1UtDdyOt4AbvwclSGCxht5kUJsN/1
496eg6FCcA8EFmBCIWgCFhMvisLhwkwX9hAvI7+V1kpkeYsIxYeZ3YZ3SqYO7bzuIPY0BMUU/ahG
+8XkzRoN/fXYy5Stp3IAD23GnwVOtraw6JkVfPwUAj+tLBmWmwOcdaKjMKs0wbnTepglHhsygBSg
rpuKtIk28E2D28Wx6XsFB1xnwJCLLnOjFoWG404iMqlMDXX/tBxXkwijq7aCAUsHpApMbyHb0nUx
1R+dqiIlke2NUU7nVR+Pc1oCn7XSus2r/KykPDerlOBIsY1zo/Gu/A4Do57Dp4udH1Whb+TWOaVi
gEZJLZmukunWCh+QL1GfHJlZ+HWIGkx2HenH4Nu4fjQgnJPum5E590VmlRtFpxcUZY0NAZpp4Vgn
rwr84CQMexIuzIG+qVl+bo/Rp1i20lmfUq1OMqINUBwkP1SkCRfqz+Cav5Leurmu5osYWyXK3GHg
onjwKdeceJnKyKaBS/XntTxc5bz65IFYHHbY2meTgvwVkmCur7fnhWAiA4CNFgR+t3rRfKH/f5fC
R1p6mnJXCB4zTsvNUeapFF7gOPtUSJam4D3jZuTz8SqXJ7hW/FEEQToUXOlC1zaSYE/74F9czc7Z
CFCrRyjWOlRrTXCuHa+3FkpUx/PWrH/Qxzd5WhE12nLhFoK3HU7WzAw8dL2QQ4A3yx7xhjyhyAvj
21NKl1KSNushg/sdjZ3AHrYaNHEVujjNgK0Z2xuJ6nurcgfMvf7UYUz87z4WgnFuQj2PU/Oz5aRb
NAHAqWvROPegqccYGGB3dl9nzRcsR9AFG8Cu5FHhLGrLqdzcQQuviZCYiYtTVW1XtZRe1xDj49I/
aejUrBUo8yFmwCoUer3t4XoJVn01DNs0UakOyMnXAAa+YQImNOXe2kSldaI66VkIWz8RtH1bEPjz
OJ6Aa0Dq9wPo/XD8w00L41+F+a+gAJAIKQCbNHpmog6gW8bntqq3qpANCIDmzAchJYDvBB5xQl4g
EEIDUtusfGosM8ecaMYAR+pN7/Mk5AnKApmMCUj6JKQL6LkhF94k8wJlA2+q7kshdUAZHWSgo65B
pkxk6AgiOEyr26GRoKKV0PS07jQhn0AnWseBozLXMdoK0E6OdbQWwiBAH07ILyToMMjoMUymduWh
ioBzG1INJY4VqO0pl9itg+uDAe5r2YUqBB5oqcAQaleUbkb0EmwPR4DuokIVwkMdogtqeFRCLgIF
vlAISHhWepGgKDFYoXQUoDERCrEJcPNHJuoTnZ8guDCohhuVSeKaWR8vEiFXMcnBKabKQOrBl8yl
KvnhT95VWYC5GRXaBZoQvhiC6K4q6H/kwGZlIY4BQEklskIwoyedWDdoaFiC5TuV08Uo5DUkIbQR
AycfUH9rhQIHShx4DnZAmaojlLwCboHAh7GIcIdGr9hNTMTwUNn7kkKIanz5pqyHEDAPwh82CiBm
m16rKIJMFpJ2YEMXeqcvKzRDutw+hkIB7c7D/49FBDaS2imczdVoKbcTyiOGz5k9UJM04X2VSnVP
j+O0QasEF5+FJcRL6rF1ofZ8zbEGx3ybiIi6EMI/awvdE9lvlnrHIsBrmpO7QFcRWjlwhASraOsK
ycVTor37uOGgDDUzXyBlhR83kOMGzRXqOGQktbOtHEjRKrosUBgIPhMqxZbgE3cq6Qnt48qgU21a
Ex7so3/D3Vkt8jBocY4Y8wVsJnNr25K9Ajarrqq6+hLGykcjaxMX8Ni1YjVfIxy8ZhXnwqxGdGWW
WAUWCYOCoor9HQ7msKqcasnzfa8iPOEzO7+r0SPC2RgJogyw/VkWR8bco0zOnQfqgd/1BTaKDs1I
WIu0w6R84aTtnScwVbJV3mlBto0ip3Y9yaOD23mnSkH7VffHYOnkFFx9wF0YKrbEww0nmGcbCKfL
7LIiRFwFGbW89dejAV7M4pyEr4CuTPZxzKdgFUrRt9jCCA9QKkxbxOs93KkjFIVpzH9UjEJxy442
+CRZm6IJuIozHeU1QiMXybERUQyl3jqYvvlj+gPfiJz6bb8dsMeb1ZJ/Imshraam+GFLGZIEuvO1
z6nXSiV+TEhb3cSBYdDblL7ImCpfVHZ2ymleO96pDqgiCClLYewGLx67Zac8y5Mkp1FfhTJM0IiW
wwSl3imDR1Xtf8fRQmzv13H0VzQU3napxL95EUUDd3JsxGsApSKH8IKhAC5WVWXkmcDMAtN6Ua+i
KEXgDTpLlKZgERD7PkfR9gdN0QSc1oal8EB5+IN6FYHyz1E017ips0fBV6u29bNCU1OBxk/UCLfI
BnIe8hNoflVXjZoGbqRCFJuULL8KaUjB7UnTj3Xr4TkrK8ARJk9xlZa7CTxsMyt17QwEMNaUCW3Z
0YruNdzeIeXK5nFQdt+dti+u8pEsNy6T4dzx/cIlNbVcp/XyK73uTisZNk6ToSoTBihi+CXq5X3m
X4JWyFYtZnQLv/OUea0o15R4knUCJGEVOdqKVtBGG+0rv2xRtdYjdU5LKtwm4ZC6MOQwijX7tdPb
n7JJDa9LnQZHQG1q2UxO60ox1kQKU7BFtd1bDnLjrMEmiJY6+uBN6qTrvrCceeJrzhrLNEykfFDD
6HfC5IjIGNr0pCXWjR1QWIgmzpq8dZ3cQGY0oArU6ovY8uWF6ndHcSUdcyd8YjZP85z4WW7wpMq5
PyiOB9+MTgfP4tC46/PPfhl/FsIUiyLwwcb64cdGJzEGoABVOVMs1/T9dTx15Voy03vND5LZkJlH
JkqznO2kEI4R4ZNFWXwZeL1Mt336youOgAMXH3PJO9MhP1CfWmsegYReaHfeWJ8jSdSdIGSDZGKD
W1HZ22eIa3BEetOZkfNKm2KY07YhYNO+0+KiWRTfSh5mhXkQHMXJsDV7TkqO9wYDPID4Uq9uUGvG
QqiF8dz7zhZVssZVU4FMADg1pCCqcBWYGUrwtfCnC12HX19a6HAMk4TGJJ0Z1sfgmnYZ21tthL71
XTTux40FVXFhoaEHeXwiakEIZ54Y3F+BZdxLQKXC1oadL42gPjyiECcyCEySow6h2JllkE+oqXKi
WbQgEqGD48kK/HTDDlejEYPqpgeFCKF6WRlGRx+gwizJj29LFUTsGITjIkS2Z5FHzpI6I/TCeGKS
w9rb4C2C5L8B3qhng7uYDa41v7hMsmxgZeubwXZq6BypfJUFHoRtHfHoPEP8zMABEwOgdK56vTvp
coZYrHc/juo6lGxjExvGVdV4JCZZ4yJD7VKAPtNrxGV73QCY1LfyzErMjWRX+tZqRrI9eCFuoYQm
0A39YxdTQfIa44TmCO0QRBxdWTKOKpg4R8qYH5d6omzKPOQtNZjraF9qxdtKvb+E0DEsIa8i2FaF
AD/SCtlnrlmu0rldJt+DxFjaecFWZ5sUAnqtYmFZgMUeBCg7lix7DqxD2QY9UA5PgLe5h+DBU92G
ueeddaWUY2Rpgl1zJuJRGnoaXRZQncPFqNRIHiBreVSOE0bCAjgul42+sOtcX42+B6xcAMyLMjtG
XgHvYQE+RzFsOiojRVrpApqel8WFKRFiTKDWkTz+Ukipdq5G2Pdx+qEXRsXdDUC7S9B0fQF/N8HB
l1bk/6hBxjsB2/jCAi2Phxe4eagq5CEP18b/g/vz6RHnN83N4kH5/aK9r8bL+xpmZv18tYjfnue4
SF/l/7e/9PuBnkjxV2Nx/5//cXOHBuw8rJsqvG24E+9/0qN/o5r48GAPT/3bcZIbdO3bOz6BIhVQ
ZspaGsUo8cOnJDlcrMdfSwoy9xo8fFQTH7tVL+boV7Pw+y/4OJ2//zu/ffifJ0H5OSz540nQnA8y
iYMlIw/zq0mAmqOAET+ISXi5EGDRgLZ5FZb9K9+ft/z3GtCQZ6a0Cf3Tefz6YNRfrQEEFxAZw+aP
yO3h5+WG/t1++P1bfueVgLz0/2UmxIJ/ORXgk2xiQ+3xmxJtvpoKtoMKmMoSYCkm/fB2g/a4Qh/t
cv5+N39yJLAcCITpKVNNfvx5Owc6jhKG/eSjcXiToPxc8f9XtsSrhcC5KJrqui6OvdcrQP+A5yDy
I7A/Hn4OdCGIdvwfHwuv5kCzP5AK0bk3xNbiB9jeq6ngXIBKiKa78M45yN0g9Hz3ngRUhVWFPs0v
7gb5AwgMR7DaD3QSRLtoz0nQUXJTYabq3DY7V4L9QSVzhi71OEvcIIe5Hh4fbJ/TkaKDKFKoNmv+
1W5QOTKoqBJDPF6jBzsHj1fXPnOAAJPCgqcas3s5oEUBaQ7Ij3qwk/B4Yu03CarY9hyPvzgYhLaG
TTVJqHQc5G4QYLI9DwbnA0GhQavkV6cjK4Go2SbFONBJEMpie06ChlSZDJXUfFwIwmzr1cmAlhkm
woDqrMcA9fACJiFftuckwCagqusga/CLM0EVnAJIuMoj5eHwJuGNaN0fR42a+UHTZDzcnq6AtyvB
+QBhChqEKH4f5JkgzBH2XAka4Bbwo8gQ7V4JbAfIKLJjiuk5yEkQkhj7TQLGEha9CksVe0L8vEkk
9Q8qRQcSyUPNJOX9w0b7g4XuL/2IxzkQ+fmrg1GETEJGETmoh6PzYNfD/psCZUpUJ7kpn0ooP0+F
yKVsWuocDQe6KZ7CmD1CJrEp0IKmlPi8IH5eDyrgdANTyYONFpT940buCJJJlKqfcqkdKwEiHxrY
T3nb4V2UQptov+ORiqtBu1fB4/DtEkBzDvm4p9v48L69sn/AqHLsYS5EzfkxYiQYeHUuKsYHdgGH
BYmm+DnUc/ENIuDPIyZqTBaizeSSP80BOSS/sKCNHOq3V/ZPpHE/RCJMBfLwdEP+NAmK/YH7wjQJ
GQ/0VlD2r7AZZEcPxYSn/In3/Xo30J4hjILh9BiRHOCRsH+8CFicOiswlscTQRQuX00CoZIpBInA
nx/oSnhDZf/zw8DiO8KjNsxf9eFwlABqL6TzDnQSnpLbPYIkckjqzVx/1lNd6eftwEogPoKfhzXG
YaZPTw+2zySg/i5EuwwojA8/vO/X2wGLdU1hM4imxEHmkOr+/RcL6QYUHwmYHw+Fn1cCOYNjQjxB
w/Fxlg50Kt4QcP74ZKAdRyxk0oT4Rfok+rKarlBzfpyrQ40Zngri+2wNUXLldVtohD78/LwqVI3K
goW+qKg5HObW2D9woqIq40CNbecvzgfuU5uqtALOUvwc7HrYv/BqEkETQ2vyUwn+TeSgfEDchQL8
wWIWhOjhfvkklQXdeTDjMB/Xw5u0EpwTqug6UeSBbgp9//tCB0SNjDvV18dJ2FVZcKCUKjSlHn4O
dCrU/Yss9KOBJfx9PLwpv3J1qvAlaVsdahD1hLfb56ZgEhBv0qkkPZyBb3MKLk1SCpkA40BXwht/
uj+OHESlCSEM0DqPF8HbSZA/8Eu2jf0Ybx/sTbF/OZ41j943XOCnzGLHTQHhReeUfMxnDy/RVvev
PCLti+AuPYcnsOOuSRAOUajuHPQhKZwM97s02RoOCjC0Z57uC1bY6yRL/kDBAYsr7WB7EvtHkqTb
FomDrDzdiTsyTcA+ACIPdlNo+08C5gNIFFBUeEok36wEEV+J/1GnO+RwWts7kqT8gvS3gDf9oj1D
XRonURls6KEektr+4RMYV6BLMO6eCnE/H5K08FUCBw7SAw0cnk6sfaInmjRoKxg0an46FvnyCowJ
ZudpiRzqHOwfMVCGYwp0fHh/EUEqrANamY5z2MGTsLza87I0iJVVk/CIq+DpCPz5sqRAJYN5PNg9
sX/w9FCRhE33vPLf3BNkFCoir44wEjvI2tPTg+1zMFB7AgIMzvdXtSflg4B4EUcfbNi0d78KbgCX
JKxN6k67twPoV90hpzrYa1Iwyfc8E+wPTwLJvyq9PdwhKCAKsPhhbof9zwTq0ZqqwpB4yiJ+vi4J
mEyxVg43qzQeD6s9zgRBF6I9zV35lEXsOBhFoYXK26EejE+I1D0mAeKYYxMW8qZ/cSYImXJVUeyn
gu/h1ReM9widRTVJw8PtsXzw83YQlUfc4TCQfoxJ/qVJ+Bf+0t8EZTcIk7sHajJ6ULsYzL/6C89s
zbe/f0E8fuCbvvqbgqr8+OGPzFzx3//1mrn8wJN88dtn3uTDJz39+6ev+PbDX33Y8/d6/sN1eF/d
VLcIYj5Qo58e9Owmhdv83wn/d3fzki1LIVQTzbPnP9tNs/77Vvj96Mjf3D8PtLn7z/8Qg4sw+PnP
9hk8vbnLq+eBXgzO6fHPPL4liP9LTz5Dk3zXg1NG2Hts9ya56Xgl9fNYL56dJHL/8fOkrd+8Umad
jfsOg2dNdfOXm9fNro8gmtv7I+b3yV9nebVz/gnK9h5/kfw1zysWz/NYL+afO2nv8ZcVGnO7Bucw
23vwVXKfZc/jvHjw99iu6zb9nid3zdvhBVl470ffpMV9Fd4kz0P98/QCLrr/8Nm4Y9IFAHHvoY/v
qx1zLtqk+w8dZv6Og0BgqPce++Qm3nGGCfD8Owxd1/e75uQ9NuhJXv/135l/n9zvmpn32KKnN3cc
wM/z8GIhvscWPb2pwl1T8x5bVIxd5LtOd4Gl2vu1nt5nd/ltuOv0Eqicdxi/ur2/ex7on3kXBJ/9
B8959udxXoz9Htv0NN85J++xSxm6ua/uxx1P/h479eym2LHQRed87wk/u+9u3saO2DO/xxbdVjcc
Ac9P+eJ1vscWPU9ubu93xI6iLrn3tJwnbboruBPdyL0HvwwJHevwbsfMCJbu3uN/vLmtSAmyZsdd
Kppo7/AB2V+z+yzc+QHvsVU/3ogPqLKb6m7nQSZaP+/yLebhvb9rlt5j14ovsWQH3Ib17a7PeI/t
Kz7jKL8p2123lfYee1h8wkkb1n9tv4d1set7vMdmFp9yetPc7xr/PfYz4zc3f81uqu83u2IGAUp7
j/XEZ7jJ7k94n40tvgVmGtPz4/5zpurvsrGDm505oRBg239+qGHsnPx32cxhHYdj3j4/54uJeZe9
nCc3u6IHUfXff2IITHZZM4jK/f6D/2/eig8FpT1qOB9FmWXHPay/x779rWvFvk9+RYwfNjuCNlEo
33vir1pOgh1XvCB8vsPgFIjSXXU5Ud/ee/hPjNDu2quicLz36L+RUN73lf7GTez3Q+8qy/6te/e2
WPus6bfrn72uRYu/cZvc31T/9T8AAAD//w==</cx:binary>
              </cx:geoCache>
            </cx:geography>
          </cx:layoutPr>
          <cx:valueColors>
            <cx:minColor>
              <a:srgbClr val="E9D7ED"/>
            </cx:minColor>
            <cx:maxColor>
              <a:srgbClr val="7030A0"/>
            </cx:maxColor>
          </cx:valueColors>
        </cx:series>
      </cx:plotAreaRegion>
    </cx:plotArea>
    <cx:legend pos="t" align="ctr" overlay="0"/>
  </cx:chart>
  <cx:spPr>
    <a:effectLst>
      <a:outerShdw blurRad="50800" dist="38100" algn="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plotArea>
      <cx:plotAreaRegion>
        <cx:series layoutId="regionMap" uniqueId="{A7644D02-111E-446A-9FE2-56028D4735DA}">
          <cx:tx>
            <cx:txData>
              <cx:f>_xlchart.v5.6</cx:f>
              <cx:v>Amount</cx:v>
            </cx:txData>
          </cx:tx>
          <cx:dataId val="0"/>
          <cx:layoutPr>
            <cx:regionLabelLayout val="none"/>
            <cx:geography cultureLanguage="en-US" cultureRegion="IN" attribution="Powered by Bing">
              <cx:geoCache provider="{E9337A44-BEBE-4D9F-B70C-5C5E7DAFC167}">
                <cx:binary>7H1rb9w4svZfCfL5yENSF0qLnQWG6qtvsWMnmcwXoWM7om6kJFLXX/+WbCfjVrezMjANvKdxemax
k6iLXdIjFqueKhb/fdf+6y592JTv2iwV6l937e/vudb5v377Td3xh2yjTrLorpRKftcndzL7TX7/
Ht09/HZfbppIhL8RhK3f7vim1A/t+//8G0YLH+S5vNvoSIrr6qHsPj6oKtXqF9f2Xnq3uc8iMYuU
LqM7jX9/72/S6LssRbR5v32NwDWZVmrzzpeV0N37dw9CR7q77fKH399vDUPev/tt/Gs7mr1LQXld
3YOw6Z0Q5BHTwTZ6/MAAqRTh82UDE3KCkGs6nmX/+NnLTQaS0zV61Gdzf18+KAU39vj/O/JbdwFX
//ivz+BueBbD0w8BiN/ffxKRfrh/d6M3+kG9fxcp+fiwys6Xw41+unl8Mr9t4/eff4/+Ap7V6G9e
QDx+sP/t0jaK/wXhC3kv7/55gC18YnnIsz3seI8fZwwwOrEtYlseNrcBnqzQfny3xSfAuy1wZOj+
kcKkuT/EBKYnLrJc4jrmE750jC85IZRY1IGZ/WQ2nubvGzTaD/B4gAkQj0WODGRfgkEaMFb6EEi7
Jwi7nmea9AlpdxdpbFquTTFceQn1W/Xaj/feUSaAvlfuyJD/Wn07BOLeCbawbWOPvrI44xPbpY5r
OSPbPVWf/UhvSU9AeOv7R4YsOGWb+qHcqH9+aTbdE+w5BBP6GrzoxHEH78yCRXtrQr9Fqf0Y797X
BKB3hY4M7T/SPBIPB4Ha8UwbvGxrv+3G3gmFj21Taxvq6Rrtx3kkPwHkkcSRIXyzuSvBFRNaHgRl
mwLOFkzax8+OLzY448M/pvVo0PE21m/TbT/ee8aYgPkeqSPD/Y9scy/Lg2BugnONiAsTdztyRjCl
CfFM5O0De7pC+4EeyU8AeSRxZADfbMQ79lCKTXkfiUNMbusEAxGCXdN8csbA5drCG9MT4lnIo954
Vr9Vsf2Av3KDE4B/RfLIXgBWaX2Ipds7sTG4YOi1pZuAE25bDsZkZM4nK7Qf723xCTBvCxwZuh/K
jQgPAa95Qj1sua7zmmcGBIsNNtxBI3ina7Qf35H8BIBHEkeG8OwhfXcpgWb/5xdpIEGpbcFqPPAn
w2fHMbOABrdMIMlGLNmblNqP8+4QE6DeFToytC/kQRZp94RADOU6zzjvAA1xFiGuC4TKaJWeqs9+
jLekJ8C79f0jQ3aevpvJErztf34eA2NCiefY5Jnr9gDELR+MgM/tDebcdvb53G9SbT/Su0NMgHtX
6MgwX0Bu7yDz2TmhJnaAAsVPhnsM+MCbuDb8g0fpyeka7cd5JD8B5JHEkSE8xBCz6CE8xKwmJxTb
1PbIOKMBIRV2TBdiLvsJ/t3IarJO+2Heva0JSO8KHRnYV2kFdREHsN/eiWc6FOz383Te8cPQiWe5
kK02R9N5ukb7cR7JTwB5JHFkCC/TByEOArBNECSsyE6ZAYFkh4upaY887Mma7Ad2W3wCrtsCRwbr
qsq+yfRe//PIWuBZuQ62rF1kgRhzsImgBmGfkX6LSvsh3hlhAso7MkcG9LlU7/4AQiR9OISZtk6Q
TYjpWs/L7s66DGGWZQLvjZ8ylyNm5I3K7Ud93yATgN8ndmTYr7P8oYw26T8/yU3wxMALsy0Tv8Jx
2yc2eOM2hozH8BkB/xbN9qO+M8IEyHdkjg1v0R3C63agcIzAak2fic+d0GooT/Acx3VH5UTrifq8
gvBL6Snovvz+kSF7Ez2UjwVj1T9e1QsEiAkr8lOeGY1zVcCTwEUEPNlT2e9oHk/Xaz/GI/kJKI8k
jgznM8hLHsBa2ycmfUxMPRnjwRpvsWFAjgwVg9gkEGe9rB+aqs9+dLekJ2C79f0jQxbKzUWk0k11
CDeMnjgWgojJec4479TmY6jNHxwxOrLQb9NqP8p7xpiA9R6pI0P8DDaFHAJs5wSmKRRq//C5d5Zj
D94GKOMneDyZpyq0H+ft+5kA8bbAkaF7vkkOkH+EXTaQXYRgCYqBHj87M5mceNjGDhTzblvqqfrs
x3ZLegK0W98/MmSBtB2q8suqP8BK7Jx41MIW+rHJZhwwD7uoIO2IoIxgG9+3abUf5T1jTMB6j9SR
IX6+UerhAH4XUGFQlQ80NXmazPu8awcuW64zMtXTNdqP9Eh+AsojiSNDGNLo+qF86A4yox3qUGqi
59r8nQgKnzi2Axsvxvuq3qLTfpR3RpiA847MsSG9uYdNGAfBGbZgQFKCPu9/HcdQECkjByq6LQwO
2csY6mKyRq+gvC0/BeNtiaNDuIwOYKxNOizNkF1GzzUje5ZmG6p6HeqNgqiLzUSFXsP3pfgkeF8K
HCG6uTzIDnZ6ArMT5q/7vByPZzCwIJ5jUZeA+/34Gc/jMpqq2etIb40wEewtmWPD+0HAdvbDFOIP
uyIBSEqfkxRjwIkJxZzUMc2h+m/LZL9FqVew3hliCtg7QkeHdnkHvRf8f7w7BT0xkeM5P+s5d4w3
uOIubI/FdO+GqouHqXq9hvaW/CSotySODOfLTX4IHwyyyR4wX0BtPQVUO742tDCAcAqBid+e0FP1
2Y/ulvQEbLe+f2TIfpXpIXKM7gnEULDhEUE511ZqAjbNwAWKoXJkG9KpiuyHdEt6AqRb3z8ySC8f
6s1BOo5ACb1DqGui55BpZ7pCWgJDvyBrTHZN12g/uiP5CfiOJI4M4at0c/dwmD2tsENiKKN/2rm6
S3ABwnQoEiFPHvUoNJ6u136cR/ITcB5JHBnON5FKok5W/7yDNWyMMjGsqz+6B42zTkBcO5CAtIED
2bbTb9FpP8o7I0zAeUfmyJD+GEGvERXdHyIHZZ54LrJN87lYYLdaAJxt6EQC+cXRdH6TUvux3h1i
Ati7QkeGNqRgYMs69K07hOsF5V02GXYuP9dw7sxs6EWBCIKS3t2U1Bu02o/3njubAPgeqSNEfAE7
me8idSd/GNR/oo0jhepshCjU6v1ckbf9bXJiQSdL2zVHk3t45j81mrLAvA747jATMd8VPELYT+Wm
qA7FcAO/bREA+PGzxx8nHhSWeN7+Yj94A96g3Ov4jweZiP5Y7AixP68i9e7Dt0jlh7D0NrAjxIGI
CyzA8NnhQ6GNGCz60KBiz9x/o2qvo79voIlvwD7RI3wLLqAz7SHwf0yAUAp75p5sP7DeY9sPe96B
M7dGXMtg+ycr9Try20NMxHxb6MjQvq3STXkIHx6KBE2Ewc4/B+bjqT60N/DACcD2KFybrtF+nEfy
E0AeSRwZwjB1oJqMbcpvm4OUJViDuzYkpV/f9+54rmlh6Mz9+PnhTD41932zevtR3z/MBPD3Cx7l
O+DDVD9EUgSicdhgBwWjzx79TuoLnwwTHWjW0Vbpp2c/Wa1fIb89yGTct8WODfWhzdghSFdIa5uE
QDvY5ym/B3AHAnrw48cB+2SNXsF6W34KzNsSx4Yw36hDNPCGulFo7wr9LMzX+v2SE2h2gVzw5kfm
fLJGryC8LT8F4W2JY0NYppuDtKsZ2k9B2mSoG90fikEduOXBprsd0m2yRq8gvC0/BeFtiaNDWMjs
EMuye2KZngPlCq/VBT82s3EsqEkbzWFoeDZNo9cQ3pKfhPCWxJEhfPvAN9Oe59tOxAErDbvbHWiA
8IrrDSkxaAcKtPkQh8FnFFRP12s/ziP5CTiPJI4NZ6iKhbOOplDTbwaawpY7oE6fQ6g9vMlQuQIh
1hji6Sq9gvFogCkgj0SODeUKDrjKDtJ6HwrAXWjMDH7z43TdR4/CTnmMXbLDmUzX6RWcx3c1Beix
zJEh/RkqcquDRMzQwxVaGpjotfNxHskxKFpx0KjS/w0q7cd5PMAEmMci/wtQ/rWKW/c8nHX2xw//
Z09+862n1EFrdWix7QAbtn8OA7QOBp8MjsvZR4e9PFnvqSB8n077sX0pu3WPT7f464dymFPoXj+h
7udRf7ON3swfDwl8cUjdr68+3j6cbTgSfa6g3/PAfhbjru9/fw+lu6aNhvbJP88fHAYa1d8PxdE/
XottqQeIuX9/D+cNwn6roYWcbdpAbzkUBmweni9h6Do19Om2oeAbqFFYrwX0i+ZwiiF0SjDhHB2g
yoYduOC5vX+nZPV4CTqIWoNJMIFOgybenvXzEMcrmXahFD+fyvOf34kqu5KR0Or392SIxPOn7w36
2lCDPBylZmEX9gsR2JCP4Prd5uOwBx8ewv+YBmmwLpLkA0aWLk89HeXIj+rMMr64MqHNPHPKrPOr
Ii6uMU1mFcnWfZmt2vUaBfFSCMl4Q1is3c+8a3OWR/UtnOpVnqE2lfzPIIxb5miRsA4yvn6mgg9d
ksQzO870Kid26kdN9lEm3YfWSGsGccomoMT27TI5y1F/JZyWMxqUn1tDLHNb9ovKbT/3qLl3cvox
NyUMYPb5KmztRV25cmUp71qH8fdalmSexZnDNFjQed7o5FMQZleGZfa+Rp32kxZ/cGVw3WSxYE5X
oFXo9AFrS3dVOzlhWdKsAod8tfK2ZY3sqnkd96kvZVHPPduKV7mZpXOvpK5vy8CZZwX/s0oKPRN2
nizDJEhYnyO8MLlIWWWYRswaR/MVV0GIWJFDb0FGqNGxNjXSFeconydWbC8VxukZKkT4kWrafnHq
MmSSZj1TbWR/iFxC/BBH+LLrrNOitcgVF1LOhOoK5hRUL8soVgsuM8xZncFPk9j9EniFXgli9rOO
lzXratwy3SaBOo1xKa6DSptnbl5aPcu8ToWggyiiU4saDl57iTKSBWkSVnc0wd9wYVqzqjIYLeL4
gtcVqwI3nukkY1zgmFlhv0B2dm3FXtn4bSdbZpbJQyqrL4VKziVC4SyjzTLVSeLDCUIXpWdcKIPA
i5RFMztPP7ZcnOak/EqM5DxuIskKkt2aIW/mmrt3Vl5ckZBeiqyttM81Ta7suIvI3DRrM77MbB73
F3A8qGAoaeZJHju+adXBOun4usqCmLWBFKx1iDvP+vCub5uIBUhKlntBtpBZmTPbE9y3SvvORlHJ
bAslfku0mpm8nVdYz2jWfQpb3c46LexZVNex33W5yYLAutROk82gcE2ujDCLGHLDeRvBN2MYl2Nv
Truc+wmyBUttL/Hd3qqXHY/qGWrRJbUbNE9KO2JdnqhThPSZE7W1r+2UzKNUGQxl5C+nxQkLOnnT
0DZiXtd4fiAUZUXCmRe5NvOAtGGK0ocsCO9T6aY+zC5fx51msRFfVbZo4B0gc4wq6leqy+YSlzET
svEWLrz6cIRsOBOo1OEssHUYMSOUfcOimMrkVCgtb18eTrpll+5k3pVRyJ/Pl/35x//cygz+fTyt
9O+/HI6n/ftPywc5pIPU+EvD+vHzW3+feDrY65/Hn45Wgaczbl9ZIn558fX14+VCYEPu+ldLx8tV
+GkFfzTHj1I/lg4MjSiHnoUIuvjb0BMaBvy5dEA+bShXh346LngRQyL8eemwgJHDQ8N4NLgOcEAA
+IY/lg5yAuWSYO/BqwTOFhopvWXpwPAb2yuHB4wBtPhwgBw0oVoH0jYvVw7dmzIvqqq9FI3pzesm
4DmTZkwTH5aN+tox7O40bmuRzBFK9FctrfpTYqm2YMoTxZcXT2/PQjY0jRlrA2fVQMcZWB3h+NAh
xH2pjSVgwni8qi9JIfBlmPQiYBWVDvfbWkuP1Y1VfaV1bkSszFxd+EVcJiELekUtH6rHxb2nNfoA
Y/BqRtIUf+ptw8XLzrGDB9wZuF38WmMC/NmOxrAnH9oueDaFbqOjldeKKAdsO31ptnYYzpy2Tz/V
QLaaC007aYO1bXE8i2jgsp46HZiEBJnLrC47PCtrqe95qxT2IyO3ZwoOd66ZzjiqGS3tJJyHMuZX
SeWdZsrjagbsn/dZ8eIsSRu7nUfKcC6iktfZ8td3tQsD1NEjaLoITgW0un686RfuBO2MsDHyVF0K
HXifZehiwqyEwKuRi6q9atrSu8kDnP75658d3rWXXgxsmINTQqkJZwvCvmhiDmq9+FkbtaGVq1Bc
CrfHlzjh1aVQpR+5Af/861+C6bPzSx7UmVLw3GCjnjt6z3JhdX1Rcnnp5sjaFI0s02Wg3Y6wJOdz
VFRp75uoc6Ufm3aT/beXZngptm8UXhTocmjBGYrQpHb880DURzwUWXRJi8TeZHFlb5J00MHuMzV3
SljGOgTQL5u0ALesSCR90Kmn1o3XWeetY5bIN5tYJn5MRfbJLHNizrjbdQ+5UeczZPQZ9W1PWuXK
Np2+Yr9+ekMX+7H+dDAbkOaHM3xhK9U2UMiBtce2A+MCV0G2iUqtQoaNRAuLmV0nwtOGR8m30PXy
87Yv+MKRVhv5BNf0u6Z9L/2Oh9S3ZFw/RKVJ72s75/T010pa9g7IpmXCSzTwaFBmZFMgUl6+Tk7p
Rqjk2ryIrSIPPHemPd4vYcE3vYWuq8ov2wJd11lnV4xzTv0Si6UiZb5MrZz4SVpkH/PUzlpG0yb8
0sSZXHdKa5bbRf7JUYk7CwoR+JWM44hF2owbFsRKXDa5oT4URm/OwxB7MTP6QGQ+qXm2sh2dfiRx
eBV2wmxZWtHiUgfFrSaZYc6cmsCDjDoCtsGq+p6hxo3PU267XwNUWafccfF5H7a15zeIWxmcht5F
a8Mtu4w1ndvPcGMbsz5u73JV6JsKGZSzJtN0EaiiWlsBIbcFx02yDKiBI9bzJPgGyX5wJiNRGH9V
Gc1mea7IOpEiX+PCS++jOndg3ptZchN5QUtZXVjhaRmUld/Bc1hii3gfiiZr51ZTFguMW1zPUzgO
OPTrJnQLvyY8mGfKLGdV7n3ggRGiGcZSr2CpIY0vUOwwV9P0zzZD/IyUXn5jm9peVl5skIVysn7j
OrKcK9TG/aJO3HBhtC3aEJU231WY57bfE40qJkJSh4tWxxImR9PMuxBiiUUpAz5LtZmtBHyVwab8
UsKDzmrKYhXHhk+DhjIq7bZnlk4D39SGyJalk8xDq+rQdWNiaxapEqUshjdJL0zdeGrZmrQ9d5K+
T4Prqil0lrEuSjtR3vOAE9J/VY3R0gx8uRJMubwjXRZrs4TjsqoqR5c60VnSnnpR0S9rr9LBOiuj
KGcxSeUNooa5jjvTrCBk89KAQVzjtQBX5rozEQSwHuo0aYq5kzQh8stU4+ADL5BD5SrpaMNnXZt6
+txR2oQ3qgkkVo1fwVq4cAweBx9qmDpO6Bdu7sILZyYqW4g0Kj2WFrB4BfO2jhzfCID5sFkXIGHB
6dJBlvncq5pg0aQ0zeYqAK9gYYsw68H/tcFiCpJYlZ/x0khZrbpQXanIyMAtDSP3u1HVNEIzJIle
RpZbuZe2EYTBqTAhQLJjX7Sq6LuVgj0/JZ/nIafZPFB1Xyy8Uolo0aVO1q2QUlnu26RLI5+2dpdC
oFREhg+wki9GnvV4BntNkmwG/0PGhzRGhoJHLsSXOMu8bG2Wnk7nCdfOxx7CJXMRG5LgM95wRQWj
nHC9DMo6FzewGJuncdiTZFHloMFc6jTs5y5ue8934y5vLjK3g1fbgKlSzgKMq9PStO10FgZmWM2o
qAHOiCrwT0Qfm/1DmkAOb+aCAtnM7DJerDGKrFUY0cTxSZIU5iySUTDrqyCxmdGUuXcVB01s+WZU
xBDU5XFvnKEgtRY4D0Ib1PVoPscd7+WaR7gJ54ln8YYN32PYizwBr09oFj4ER0YPoWJk/FVCY9vO
YBHMI3KJexH1EXNryzBvu7Qh1aWTex3EoRBpXtiVgCUpVDQBAS8DKmMRRByLrz1OBT8tuixtF6qx
++gM61DfWjGxN3YbZAFzMby8i0q01Jwrp49A+QrH2Sw1i0T5bhPMIxwVX9OmAc8iDuP6RtlO8y0v
ubmqaRMGczcBXocJN4Bx7FTG7UKUNb7s29y0rpW28S3WBnyjcQzl+hp3tJ3XJIujVdkS0qwFDRX5
EBnU+yxQMbyccVyoJU0VV1dtZ2nXR0UD2PBGgGJSgdE9gxXM+2y6CN7uDKxkOYNd/q1ca+UF5Cou
qyT5SFzhWevWipvqQrd6cD6BMbmyE8Np57LJ4Kel7PuatSTT/RIldLj5QfUG7BPolWf40rIF3EVV
2PCoeCKT3veSGqZOnoZJdC1KClO+rMArCOEa2FSiBf9QYKsrBTNzjgDupmyri8zguWIRqop20ULP
KHPe1QUZjAZMJh/uCAxI6wEz5BdaZJ8DOMHo1K2jyGUutxN4L7rQ2TTCBDXaMu4+mrpF6iwENzc+
k7lI4hsXVoulEghfFl5YfIW9O07BuMUjcird0KvOAi7DetaVtGjAwe3MZU7gsfqIFt1dkib2VVsp
JFcF6urkS+NkoVplgZF973pvsCFRkfIZxAGuOY9Ix9UidzLvi4Eghs+aPCwYtcDMdWXDP0ZSqzMv
S2J7ZpOShGD24HQ1VnPifS5jow7nKREwTXojML21JSQuHjIwyN0pHAABc6MZLPY8tg14om3d13NY
ZJriDJcVcfzAS3UNK61ZI3C9i/iv0qu9W6MDN/2093SJ77USnWIZxrReRw2BoVogZ3rfakInXOcA
S+MbiecselnX+qLtaHoT16pgLlUrK2tre9U3DoCTIKz6ZZ4mUl4AMWadGxpZcs4LkdVnYdcAseDa
KuO34Imoe+QJMCNgOlXNEq4axbymdgtYBbriJg0LHP2JZW+6NevBA+s+5do0PBhMBeWcUyMJT40g
b77xEBm1n1LlJOvIQ/i6VUbQL8uqUNE86it4SSOiY/OqTdLevsycPE2B3aqRc2FhbrV+B96Nmjc8
B9QaV0QhK3sKzIirVDrHrdmWszolbrns3QLe/sRqQzrrgg4pP8iVU3xp7A7fxryEdw1WOu8zvOuZ
uhKewGBgSe7FCzfjTsPa6itxq8bFLElq+skmomhmjR1q68IKUrf+WATKK2Fxhzd6ngNtWCwgcOja
88jUiTynZc7NK9Ki1FkHrfTgvtrWCC+S0sibGTCXYDPAG6v0RZoGoH/pJeFCcTfhs6ZFaN0VFsz7
znFoxKyA04tHr/SZ+756cvKfuNuXXMZLamMKR3IR3ZVSye96TJJsDfT/OZOyw8QP/XFeOPE7TPwf
KfBC95uXDMxA4D+J/eBToEeDNbRecWFJd+FwRIhNfvIpUKlGgRpBpkkQMO9w6W8qfmDLYCepNTTE
hIrFv/kU2KgARwtAj1NoxwSHYEOy4AehtAUn5CCe//ySiofpPoqNbDjqDToRgE0BlwNaq45CS7cN
C69yefUhjnR+6qaedVGK9swVaeHbVfnZybJZEetkJSRN+wcuVWFcV10HPl4f+eBepNcezwXTSQcU
uHUqVSYXRaoihvsOeIEEG8sorS1m5XwRJjVfg/OJ/DAPLAbmIeS+VxdikdE8rW66MP/q8U4yA84/
YhQ8gNjPibJO69boT+1ctDzwO7eLTqs0mXUkMFbaKL+HnuiBkkDBssMSgiOceOu0CuvPOZT5n5HI
SS5cU4DvH93klcnzuZt1aJFjN5rVpYFmtPbETJq9OUvTiDDieGAusHeW0FLPixD7tiZ6Ybf5pWvz
mtWm9BZ12rfMCDS4FFw0q7JRl1gpz9ei+Fo24XmHmzlH3YwocoGs8KzpNWc6zisWgSlksev6TaWq
uQCEWRgYeg4/Fn4PGun81fVxHSwKu+AMYiJwV7nCK6+sPvLEvHFjJKp17nBDX0fAmK8gqvFFwZ1V
YXdK3DgaeSXjVUBrZtLAWpq4qWNmB/b3JKia9bBHflmJJJn1mbjqYnXpWPmpSPllgciZq42FVM2p
kTkz2YOpKYDRjnvfjvL7RpCPkfa+HsTE/G8zHvZjTdPrabync8THtuNJ6qftgDQetPQhkC6DvUfQ
2fiF7YDmEQTqYIeGbdumA053hI0tsMFlqLkBfuoFFQuFlRj2OAKNBC10H3N/bzAdYKN2TAf4kwg4
MMgYw/mBQzXmS8JC5naf2F2gPqDUvE2kuiHKPsssdZ20OaSdaoufQs6pybC1irsunmVJEiyC2ml8
3VYBQ0UO/lLXVDPw8D8iq+99nlPMGks7TPX4WqMCeDwPxhJU8nka55AXCkvCcp7elFTErBfSZVi2
F0aBJMtEnPtNXxu+0drBDOK0eJ7WxGClbopLJLJbaFZqX9C6F+cxIZpJhxQw91Q4JyldQhIvhNhC
Nr7Decj6Utxy4YJNMLKcoVKti9xeBK4O5yqBMIBa2QOQRZ8h0DZYSuyVNI0bo08wCwp10Q8+dW+H
34BIj1lhV51fymYuynWMz3Fo3td8U5q+9sKVlEE4a+oKiLO+iuGJJOlMpG0yI73K53kXb5pe5qzV
5X2lm1Os8wZyLXBDJeSXVOledQbNWSfmRn9eaXzaWu5fduysJYotyNPYaOZR+7wMy6sog6SiVbtA
mUMaMnHKlIWommMXASQmVUyHoVrT0kIMwuePJGysa8/gdy0R10q44D2nJqQ+MccLUkgCyZ4aMo1O
Wc3zQOp5mpTxLEgazErknpOIr7sqsphd8lnsio9tomKG+grPCxP4PlfBIuJ4QMQ44H3Pw0LXN6FG
ph9g70toyJjJKF8WKD5VCb21vH6DjVAssy5hGul5XHNvJglPgOspOcutfNWgmviOLk6hibgC/Iql
Z2axnwRYoKvc0uLGDQr44VKxPJEfequ8i2Qj16Q2ruAF33gSsn5lHIpTnuA/y6K+KIFAmBmuBYx4
Yz60TfVQ065bKA0550K5wQpi+m8ZTFEmQRU/gZVmETXVjU1CdZa56LSO46957531BQYbKvlSNsZ5
AWk7ppCLFjoMMJNJ0LBSqUsd9zB96lseBt8KTt2VMIFFiY3sJuhNDhEa5DJNuoZsb7hybXkKljxl
snOyhavE2gntTyVH/LTWwmFJ3N/AmM15Uds1BFVSznXolP5jAF2XwIRgbwCvNTsfOYEzw4H1Rcm4
9Ou+qphSQpwqUrWQw6OU8S4qWKpS7fetkn+GKAhXgvPyKnZsjzVmMWtFhxdulX12SR+zUHOIWWLM
FJERAJSLeZDGFcRPSQSzXZO1iiRnMnb4rCTVGvUuWhcuX1McpEsHdGGFY3YMzKJmLvjdKtY9k4VY
WbpYxYYzi2UPacVYg3+QGhhmmqV9iK9b1lmczrxQzbSFgSGB/zAs+yoOPSZV/Qm38ZldVqfS7C49
q7ypKWSSe5UtuQGZc5EFPRMJvqzb6lMkh2xpx68yq7pOwuazm7QXKuv/VAGEcQnkd1gm48/AgZ5a
LVp1St1q14EceyUQg8yuyby0PU9UMaeolIuscxUjZXsRlOZ1Irp03jZ4Tkl+SqpKsE5V3y07+CsK
8Qcgmi+BF78qYlr4bq2+BYHdsirp/0y5MplVuO4cSIC/VEYhOOgC8CtIfiu5ddYauZzXKbw1kAjp
ks9mFduryHKEuYR6ejLnEig8O5Kz/1vC0VCJM2wAfX0Jv30uMtxdxB83jj7X4kBVFYakJazVZOgR
NLSB+hkAwJ5yaJsL3d2IBUU1JizVPwKAoUIe0qawTdXx4CvbAcC4TOcNqzicO7a1ig9HF0HXR+jA
DRvbLYgrID+7tYrj2i4zQ2bZh97mYDkxLBCQB2wTMetFLBc19O9mcZBeWEABLGzTWqEKL6Ncf+CV
sRZpPPMaci2w4VcmPm1Uvkkq62ugUj8RQCv0+Dz0rFXPnZIlhux8TsOvqkuv6yBI5hBcbDzkOL7F
wScO0ir3e9ykZ1mXEpYCfwCTX4sv0uRnVSXdc6B+rlyepMyTHgL+xvAhHv4GSd+FGfw/9s6sSVJc
y9a/SG1ICAGPF3B8do95yBcsIiMSxDwJIX79XWSdqsqs6dgx62t226ytXiozw8PdGaS91/rWht5k
c3NteycHU5G/aDqJoKnF1XM6eKuqwD1Ltbwq0XyIBruLM2dYzjJXADwq6N4x3mkc3b2dgPow86fh
y3ng/nuZDA/aTE2Ul+m2EeoonMUOmklcncY9lBBZAz9zHm0CI6MZv+hMxMMEg6KnpAu0791wvz+W
VXPNdXHJdR63hMKDcbSEGYbKgfbk2V/xj2aBE+bkp6xHY7G05mj7xbivnbIDFLTQOMNeGZPc/wKV
/saZ1ImDPLq03a3V2HFVyI1x6RXPB46VPd8ZCkVvtXnsnr7ZNAtlSV4mnjzD24+FwgrvT9rZ2WX1
Lo16bIllR9WiigAL5MVMOHRdoW6tOZmjoRDVU8f3wgzeGIxe2gR2504XyG5xopM2qCCFhkZN95nJ
N/h/GUsxlNHY1U8KHyPpUNgVkqDy0M3WkRaOjUfDxjLHbsJ5gKcBa8PySmwMnhUYY99JrzlqnXzA
B8sDKcQDb8QdYa4dklGc/KqBy+64GcrFrgxgKN8RJ9k7+chPToMua+7yBy+pv3qWhO5U3VZZ8ZHX
/VPqw3VBr63DFF9qB0dYhz6B0500cxq6jMU2H2do4ElYNrKIW6mixYcJthRbi0+7gtnlBoay2bBB
fXqO00ZcdBPEw/alaaqNT9vylDk42mv/G36nV+qZDoE99OgVPdS2C8ikABZve15M/9gtxV3SKi/k
Vt6j3MFGJmdYJpWqVVD2zdFq5vJEKyhO3vAihXtCjvWunhqYCdKvQkKXZYuqF15S0uvYh0cHGIJ9
aevu3ptw4h2dRsZZLpZKPpKJwGyYnDu/9e5gi+y0XfcBTZK9WxAvcHDRB9Ax4nkBuQNrkQcsLVAp
6V4HeddPIVnMW2ovQ+gMJA1LHNEAzfdhnEhkFQK6PqpQWlbyCoBwKxdWbUxxB/6MZtjOp3R5g973
Nk7iAYbgQ1HSSM3eTcFYEep04aFmdh7YkjwZj0BOKN1NtoxxZiZxkBJqbUtHB6d9gj1BzBvOqznw
wdk0bcsDmAN2xAj/ZPNwLi1ynq2x3kgPRbFllrdmkTvTjk7YwJPB6YJCaTTKGtNDLYD+ew8yrAm7
YaTbhKV+yGyBzzOVdaQVrkD8/TdWzpA8HAjdBRiKwCvJXaesz6HCJcFFJQ+N6z62fXcZSigEjPLP
trWuLtHxkM8iIKzkm1q7LBY0jzNr6U8JtbZzzXG2ccSPXY0vXdS4muD+vPKqbOKGYA2GFeWH09Rz
lCLpLuFi3jXUvHVCNlsfSyMvZNzZioRZxs+QGK5DaVfBin5ERtr3MIF1kPLmphusbd7zh3bBWtnQ
e5p2LGwWr0ep4r6laXuAonCAISYjLS0ROJZ6JGKhYZLLDq0XFITewUVdDMnrJJbXfuzusoGnu7Qk
uzanCtgjYD0+qvvWo1XUFzi/NmkizwaPp92kDtKqf8/7EktFGzYZrNV+2aZdVgWMDw8m0U8FG5/7
bu24CvWMgt/aUXCiEZ7elR2XIZ8iCRsAXnxZBU3amaCk9r4f8vta2NulVQ16D/qqi9lC5ZXDhfFz
MDYFgwUh4Gqyp0nc6uGwJC9aHnlm39Y51G5HPKHCfpR2hVNTj1tRNxeGoeOoK+mwg9n7SbHQQzL2
b2Ay4tbmJNmBMioDF0bRpnQlFB3Oo8bXpwEY4eQzdAWgSmdpNouh97UjjlljIOym6tkdDXqgbjx0
42USJhgdJYPUTW+4sWVUNr7csq7PQaLKZ2qWbVn2+akmWP4X0p9945J4MqqApzuj+6W2HQyth7OV
QOVu04PjeyQchJct6IpTvwuMstmOz82nJ6vsrOsRMlyKFdt9zptKb/tRQjceu8VcaGbJMBtwnl2z
iF3qjRspkxCN4nBIxsW/UrtvrtZCll0yjHw/udml7DPPe1PcmO0yzwzrsddtsHnksd+lceXQM2ud
PVajg0hw6UDlQCtOloj03H6SbosVYurSgA9kl3X8wvmwthXWp22sz8SgdzboGE0274xFospzI1ZY
+Or4jINNm6iYy6+zLOrASbMts3KGqtfG8pCKl2yuADjSMd/oLtt0dGgCeNyxmAg0S1ccUxzs9n20
DpQnd0Xi7gjR7CJ792q3cxJKVVEAFdYjDj92cVp+tnN+AO3gxm033/aD2OZwEiLHduu4nkFqmt5q
I1m2kD07/VKPcx/O5b3DTSRK57HyuxsDFTUQS7HXXMS9LG8m3CfB0MwxOvoHt+FfsbjejL6uwzLD
JSBFd0dJH2OBo1vNe2zZFIRTxmTgLnRXi5EFfl5dXb83QZFkaiP9wmz6GeoJ1v0yysSSBb0YNtVc
okEWHNZbw96WgaGv0XrryhyLsycuyBS99D3YF7d0w6YiGyrn0NHeK7aWeNLsDq3wEXfuzmVrf6Oz
xxbKRJjL8qwpttqCnmQyQhxonp2WvugEnqlTu88Dm8/N7E6hlj5BH0vbwHfSJ2ivdUhJuV/koef9
eU7TuNUMlLf0bjMHCqkg4lG103kBhm3V8r3kzqEraInTbk7T7KkdjK5xU8/iXFGvDkWFhZBkW8uR
IuocvisadtLWclS9bYeps/ShWMRzrqvqxk6sJUpHj6yONYumDPjxpHwIR5zZgVPVJmxB5228pd8N
nDVRb+XvrkYN483qxm0HtFIA4bapPwynqutN2Nn6WOauh0Up2RZlQrZ+pXPUnMmIm8spAds+iJEc
hHSrrciavY9qqw3K1gZJsky+kL/wTv/dps3/QEUVCuTft2P/B3dX/fnnZszCq35VVNGMgfi3kUxF
zmF1XX5qxiC24rHMzi8MK6yf35uxNfiAUc2/xyl+pVs9PHAQD5xDXY0no8Cr+c/o1j8xYGgQGThG
G2AUPiddH4v0o6Sa9q7Oc9srr4R2r6kcYVKr8p0aZ1/Sqg5ysYQD5DbXqQJrcuPFTk++6S7aq2Ds
66rbV7KrApWiMXIVi1PHitEe3GsJ7tpzGxVOqTlZYxIJAklR0vEJaH8blnQtXLsynEi/K4vhrRJz
GijKPxImsRWSKsVtNB9nb/ooFIUqUcDagK+1EWZyAmrqZWMpUkZ95cwR/NAxdJWvQm4sEY5NbeK6
MTfMOE7E0vKoZscO4Ii+2CvODqP6o7HEAeBjG3Vz3QbpNBRBleJ2zAAD1q5/s/j0eUqWFL6JLEC/
ER2U7og/ilyGSwp6vKrSBJmNvZ2OsXHRIXSwigOmkdvI0vPo1sc2aY8ZvhMkM/D1FWN3WhbRlKbV
pqjZOaHsITHlCGdHVRAmbaCtwwR6bq2O0TnvKtvIMPHaZ8/pSSgsk6o0dKZOpvcjy9sv4DOezML1
cfSGa2uPw7ZEL7vWzl/mFCZ8XWyrVouAK6dBL4RGQNkJC7LEO2cpe7I7aDtK6ivBA7M2RaGWiDlL
ulkA1wcp4gpb0qg7m2QfqEKbLViQkILwODbibZzfgMHEvBVvg7Gbreqtbakga/etrponn2b1fWmV
bfEp0+VDz9ndYkNCdVXboCv+von3NL8kuL73KJyt3Tyy5sr6xL/yCnEN4ych9+FVaVfsxn4tYb5X
C9w3FztfsMrJtZoARfesax25a61ho+iAs8521vdCpP9elPyv7PRddlpJ4r9f5zCa6NdRk39e7NaX
/rrYIQXmw5uBfoJHWGMgMf7pN+WJ/pfjCbQBoJehTFk/LXYYu4FINxwkML/2qgf9utitM/KwJn3/
ZVj0nP/EeYbT/ZPwtIbA1gH3AmOxAW8LeFI/r3UIDMCOACN0NWQSqA0YFpYsqGsv3wuV1VfolmeZ
ocwUTr9NFuHcdqbwgyW17uyE3xW9+mwsWEjznO3zaTpmLo0nW53QUoZkWg5lTU9eTaOFuWM48fnd
tPbJKlG526q6ICQXJ6l7GjIYnobcijx7dE397MxjCJvg0+MeNBwPbVe9L9BbZISkgcjsvePB8zGA
Z7h1C6vmogxcZN+6oNAZgWsCsvSWrdNTVD3po9MhxoJvtCl7/e7L8Zz4RTz29hc7LbfTOB7qRMSj
7R8n3l2SLLv4qAd9dMNp1l4UQ0PcdOd+Zs94Otcuo/TiwzQhMC9y3K8NoRuULlE3LBEY/FdfDjcI
EpxTbcKp8bZcq41dikvPEPLyvw29v4bTtAozpUAJeW8rSSoFf87zaU8GP5qc4S5Lly3JYda1SyDa
/t4MwIiSWV5Tx90hYxHRXDyC99ktZrhDpuG9ZvOFePUlS7rTJFa1RB2q3uyA6kB+b7+5eXvBhOXN
kvhYnPmdm0En8Ei7w5pcB7zU50K50MFMd+yS4s1uOBQKEWawyVfe+KrIeEpZFS1YQ/ulDgeX3OX+
DBgxeeJrJMrHLlRLGnSZ3CTFzLGiWl3oVt1ZeqWOhUbFXhqVRI0Ub7D6+y1q+K3XOipM5/aZsTYL
Kj2/o1Fbff8+tbrNYHy9gOf0+nyXI5e1H5u+z6/wKJF9yr8L6jBRZOxDUoymedg7pLG2DUB86Dzt
XdGApagFRJOhK9ASoFM9z84yRZOBG1jO8Jl84HVRYi/5HaNsWzBrCBB62uU1HVaMDwq/hGVUMxSe
tFZQyFqYZKNn5aFyNd8BZkUAQ5h7yU23kuJzkAAkjUGJortuYZzqdHj0+hHJLqFMkJfsFnpIC9r6
m3ZgGfiEPRCWfG3Qb3uGXxfmxLwvLkjL6ajQU8jL5FMu/Ozl4zPReN25V+O0wc+qsGshFYLI3ciq
uWVN9aTVKKN2GsYgcQSFrMqLKG/5ewrsCd5pbQIQ3iqCoIomCxKOO+cfPlFzAIywgr6RdVHBvM+0
9b/Uhj06jvjE54ex0QDIgiRYRnZrAD9Wdhs5dY52pkhkMLV015Z9ZHvyOmXVwav0E5/NN+Vah9z3
DrzJZDwTdEZp9gRFauNXZXeB1NDF1YSeiCkizk2Z3NctDN8UmcMNyyY7UhxSlKb1i84XHOWu+iCN
1wTWrPvIRRIizot5n5Bym1u+DP1lel2aDAbZOF+l5b5n0/w+86kP+hnwDGI0O1tMDl5Zoq3uCRQn
hsAbGM/OZtukYS9jB0kJyxQkKGcPmQAIsJAvJrXxywn/KpMOgDDAfHDX70T10cCECefEioDzP9sp
RCPjw/Bkygo5ygLIQSzkIzrGpW8fMm1XkQUDfjMLnPc5SV7sEkJo0iYuri877goo1T5U/M0iC4Oo
KW7LXnsDPp79rYKntp0S2GfK6QPYdxqGfreXchH4bNOhRa0zV6inDCo1r7L3OrMu2TiBYrUOo/aW
oCS+H0iCokFZ8MMy616n49GpswcohlYw5SKq+3wKPK6RKJjJSSrAdLUp4GZyJ5BV60bldzooy4o6
BmgDZog0q6a4gkQERvCejzLOVsiotjyytVbwyNToxesVRpoVg4VsbttqgCG4AkuILcnwf2uRX2oR
UB3/XIv8Nnj8L6oRvPi3amR9/hRCgogQIozjruny36oR+78oxq67Psa6/QtZ+bX1wtwRPNYKvMrv
r/q9GkER/r2KQJEi8NTo/6Qc+VMuDm/PgdPgP/xSIHc/FyNOaVlenvTLdRmfOw/+AuzlHw7MX6B2
62/4PUT1L5/NwyP1EDBBYIyvn+CHtNjSJqIFDU6vwwwixYI+KYPB+Zim3T+/z8/f5M/vs/p9P7wP
ioK266VDr047hbQ/affjn99g9R7/8ZusSOEP75DSrmYqwzdha7yGP7r+t4YYLAdXX00bdN3hML22
aqfkzYhGjMrPHOhfesOaWzAYqW6hOMJGSzcwaSBO36r8XldZNMNq+edPStd2+Z+OOQzWHz8p3IRk
1P16LOxNslQghJ8Vbv2G8qvG/gELMpDmm0uA3uB/PfGvVQFU61/jle76Bn/8ABiK46yPC+Gocv5Q
49ZeSsfJcs3VTLmkIfX78lRAoBhD08LdCv3vMB9gwEM/owBQ+o6WaBF13SCOtKJ//QoBslZZE2AR
66D9UfXbsnphlX3QiYWWkZGcPs4AXbZ24ecws+DSITyw6UW/b7HzswlE/miiaTTbbLlOQm6qFE1w
R7DLAKmGsF2xm2TJ40SBbQASNDwMqXe2xzLoCxFNNT4AKBlkRUJ3KQOTt1HhPKDG6CIBuXXpsC8Y
GiqqTq616tA7070MOfJFxIZaWCNtwW8R2s/najvVrHmsnDJoQVtuGv9h5CLC/IEgnyA4ODLlEZed
F1lexTdNUb6OBAZjtfRQDpMhKlJ++udLxF7PwO9nCF3Izzf+HwPFkCbBlszDcrW29i7ZL6fx2d56
+/46BPQ07rqw33iRH5rYDg/9AVH9aH4lexTxW2uL/iTOfyGu//6S+enz/Pn2XbumH24uXqLmrdZL
tin2DZAUHQFX6uLO+jfL0V9dmUCMfluO/rDgwQ9Yygxm5RW+U/kwf3QpVO+Qs0gkv2yNf/uN6M+H
+Jev9ONN8AfCwMf56G1fsmtmh/lNMcP4CzFeAnx+7ofpVf+7r/ZXKyCmwCKUi1EmSLD/YQWsRDW7
bmmzq84HZJnegXf980XzVwvgj2/wh2MHSRppqZSx6zBFyikCDdNlLv7NCfp3b/KHVdaffbEYyIVX
fwI+dhjFAxNf/vl7/NWW9OP3+MPyaLBX91Ds2BWyKOwKHVjizs8vazPx/Y3+uxXpv40R/H8yawHb
y+9jE36Z1WPh7/6+PEJUb/z86xf9VhYB5AXLj4Q9RBdMysE5+q0swlSFFa3FU+RcG7F2nJ5/lUXr
eEUHVJHv/wLyChRTv5ZF6/D671A/pv9A/PnPRvV8l3v+sD6CIRYQYyAJYfzb+vl+XI+mdh6Qmcxs
lC3cAv437bXhHVQA24a51MXgDRRcPfPsMvDzQ8q/9jZIGtBnkbPGovIZCPrYZ8dRNxbq8/pMcqsP
PBi20TxMlxkOVQRGpkHjod6NX79mMt0gq3eHuTTb2owHZrO7roUPn3cGJljLBggz7FRXSB2mxH0c
Cr8JSx+jfRadPC5N/gw/0AWRucyhmKurk9pXqsXG75qDW3b7AgDPfpmSPlToOcMpmzE3Z9kwr/2G
jALQiNQ51LByMFLk3ZMm8IflaUYjERSsgpmM5GMgeFWjI01Ca4am7rbZk6bqSzFPPMyKbMcUZr3A
RYLKnNmgJEBkhrK1L0XVHcqC24Hu+2/dlNFgJg0gpNK7SiBA4CC6a+5M7WGuRjAfElywW2ETKLI+
DX0rTS6DaKwIUOoCQIcv3zw2FZeJu18XiYPbJlV2y5BhCrKh/8yQAzjnTbl30OoHCWux/deDdx3k
XG1cV+OsqYwHfTqmYVHNgDxS7PSANsVWrpsx1AsH1rGb3lqpTWGw52nQpbIEZo1dH4nlBr2ZnQKw
KPOdbc/lhkjJtnm2ziJYkKwXM5JvACERoEtoRGcDUZoPMuZWm8Ro9spNX41sOzZ2tant/IQsw3EZ
82tR0/1o0iWSlfcNdYkIchfVABmkHRkFxogmrtkWKi03Vp55OBDUIDzR+dsxF7AE5l5tfYb8WZX2
QKqQ3LyDcO1tVetkG0y2y3eWlSTRNJVwz22b3JaQKYNqwTftZiGgiFki9lIyhrnRXmCatN0Q5EER
8CrkwQFUu01Z9mDYcKOUVW8y4pkAgs97Uw6wWDOBDHLn80ProzpL6TpDY1kPkWT1Fz04+WON8Gsw
ZH69MwoDQ9gMpKpMalSpHmSIrMU8KInjHtg9UTtPQ17PNLS8yFXyo6ggFVi5m2ymtCI7a8xj5ZSb
JKnB4SIGh1FK4HIQl67QUAMMIrn2or6tylCg075d6Hybz+oO44KKzcByKsOSlRfE58cdEpbfRmyX
I52yeGwpECS/7M8SabnQnkVU9p0ABaaTkyDutEXxzu8YUU/Sb0YgQKOak23GZhCEUrVfNT6VuxCM
DMpyGLde1m2JNA+UaBrPWSpCa/IPdcXERmtDgaMpRHYG6EQYuIC0OKSluiYHiKw7aduPE4q0EI3/
Q9XlBzevb7Q7hIS458H5krjsqBoxvUCN/dRiPM2ckKCGoxF5WumTQlR65/sjULIe5lFaWCeGd8va
7DhN/FsHeCikS3m2tEWDyXefFg/wk8wXDwZQ9TG4mBaBMPm+yc0tRumclCMxyWDVierKa7aFXFm7
KXOi71OnJgmwqMeP1wOMNXewndgYnELaVZAy0/tyTr5YjXptOZYHz2qnyC36o9T0bS6EQLTARuU/
NGlMgVlSiQq64D2GgA1IHCwABsphOg+eflbQ1SOX8Bt/Xq3nyq33INLwk6MFpaUop7Adm6PKrR1C
iDX07yTOraa7Sn9c1cDcCsjsR+AUPodEFIEzyQhzAMQrMkIVqKp6Ptds/Npwd18r5wXZQyhTFQ3y
fnnHxATMBWjmHb50GWcMYlJFl6gU7iXLscr4DTQuUD+FT5pgauiOdGJndBflTGK6hNS3GB53KtkA
1l+W76Pn79zavtC03RLebVPMA8A5RUFC8WfnLfOkDAepvg3SvcGAkXEzNWY/VjzbKLeEDl/cIsNN
sBeosLTNMRvL28onEZXZQ4mhNJmod64CzKUq+VDKMUSAtgcxh9lVlQHNghkVsgw9a5gxI4iF6F8/
EwXFEvsYMdvBY4OH5ERRhqmo7zCaq9/8PymO/gfa9ShY/r42inFl1b89vu/3OYbf54r+yk7DXheQ
eNCnwD+y+I8O1mpueQCnMYkUP7HOqfpdM8KfYWxR23Fhov+YgHL+CzgxTDHHxUAbzJj/j+YYuusc
xZ+LI0QnHR8hLJeizYBZ9nNxVFTYOuYxcS/JPBzSsZvq86iZEWFeTW2LuQRSLVtPDwOmTFTp/NT4
aySw8aE3H8c8e53t4R6DFUyUDTUwyFFtOxCbxZJivbBqFjW0BMTs5+9g1cHy1g4oXzIgTY3MM8rD
MRQleW0wyxDF0LNWDS1uR1Qj99iodr6eYZ0nuCcwUiK1JLkUSe3poJs6bLwkfQURmd0kSSbFTVYa
98apvQED6DTCJoFQ5dhEwMqs+kFgukec9D4m4Q0zTUaMihky+aR4NWBySqGfC+ZnKP2KZiezPDc7
ZvVnjIE4aOXcOSkQqMStn6ylfFAc61mTtV8Z2k+YaeodMwdk2APTwjN63rM1Dt8TfhGKPYt5flKZ
dDAbhZwIGFNScahFEqY+BxEFzwI5o6EGqUN59swS2wsrUXxhqXNfePqa5xhQZYj8gLr4UCn+afFc
bgb4PIHjjbeuXQAzmKcOFKzGapW2xRcDJT0otNxZi6+jroOiX5XeQ1dSFjc1MLMao1ZAVbNdBvKg
BpQZVVru7QxmgVOh4sQgBMxLtIp6w/IOUzssc7BbdpswWBwI8GA8BGc7TJ2kIfMKoMdmZnsMRcTs
DGV9WI0feWoA1Js4yaZwB4C9/luaNUfM0T8Otr8OlsK+Zi/+vZtgeceArXhOyIfjL3FpzXvgDZe0
RwWAyjZqezB8VQ0Yekjab2ND+kBI8JmKVF915s8wouoXXNJjwPzJ3QmOehOX1y2n3cp4N5fRyUnA
l+QGc1lunRQpnjSjgJUJOP8SU3qsuXdC1KrDWv1GmdO8qJyBYU7Hw4gzOA4qhnIlt7MDvkpYXbNZ
ar6vJozc7JxnOowXDP18yEfMhJLW8FSl2d06piFqLbWlqSD7XIw2hiX0d8ZNHrA13y6dwi1CZRsh
WgvoXkoT0T65UcmyM6Cu9vZMvvYdySKLYxSmcRIkBKhfImYLFyZ1hq3nWjzCVIrl0LTuNcdgkbjx
QIO3qrZDGEIjSkl9cgr6gRjwATYEeJZBnkXeQuGy3COCs3Rr+Zg0YNIO8AWvIk7zN5B/Ojb+ePV7
/jKRzApxq09Bbiq4mAoWilEL5nQ1d2ppw1G5u2XV9Fx3HeBTNyh2iumR6aXeEY6rM0kR7xtK+Vka
tmyV67442rlnFGd4agqUaz3be1DuYXp5p2xCaS8QCAqtivNYd/lVpgJwT3FXlUD0M1zbGr54oPMC
Xp2PEZZ1F4sSbIpuYbd0PajmrhYPmq4ce299Sxj/YtnlV6Rj9p22LVCrwK4Twj5BaT4NueuHVVU9
VXpkG+YjsW0ATUtRvTaGH2GCGgdODgZj8IPLZ3Fr5x7sGzlYBtxu925r5KyZ0+EuhwmsnO4syDxu
lgLBgGl572322nm+vfOtekaKw71Z1FRHHgZwRrxHaS64XSNuYb4i9TTsLXe8z+oRe3drlWBEG4Ph
e0WOtdb+AtzxfqwwNUVjVgJqqQQ6msII2Lxta4TgrMsE+GVTOPbntBgf01PFOc8ZDNqkgc1d1ICu
CUfORHV+UFkaLRvXX8mEO5kOYIGsRDsXOWNkJkZmzJFHWBbZrLvTtQAu47njhmJiRyHreTUnId3a
JpIYGIqJnFl7Bm6+N1XyparnOaoIrzbMRb2PQV9l2Pb5V+HWLrq5fNk4dRKn3DY7Uffdvml5XAAA
jZBaKWPPg6KN9XDZAmT+0nsORs4QVE/JtlF1dpsRzERyGukjWwaJzR8rH14oJucKZHZvRc3a2O3o
HgN3Trkr03iscm87dBOyqFADwmQy5gBQ4KNABDPO2tE+MBCLodMualPMab3L6np5XHSFc6MNiZ01
GUJqnFe49VgRx2mPQS1IGFBvCUsHs0JK/5D4y5HIBbNKadvHSbHcYsBGhHb93iOuOC1Dh3EtCtyq
msxNq7IHGOAGGyItY8Q8ZaAy0mPG3fhVdBUaPIxc2M7eiHEfNAW2wZCcoWV2M0p2UyeLFRWNnLZt
uxztMTkhvBoV3XIz9UOxsfPOAqEJrV26/cV38q9eXb2XQ4KgnesngUCoCMlfB0lBz2wSkU5huiBt
Yln6CdjVW1OQm7KX9wWSquH6hOhN3lMR9Lz9LBf3W1pZHFwHH6JecvxK9H6RLq3XFgOmgJvKS+Kr
JkYzOkW664FZJ8Wx9iprl895+tRlJQKnyatgaFoYbl3Mr/qGZvnVsQmYuPHSTriU+Vh9TRzmbzA6
qcDAo/IJESmJGIlEAIGQ28VqrYiU8kxbJ4EcUhxLJEJDjj3VIRMWMEo/Z29AbZycvMRUW0uaA/pQ
ACUFcF2nfq5Mf5lr4MLCYFxYn/MQJ/TQDfTolPDEW++bhrseCLgDGMcGLjz/9MgUD6oZtwNGPQ0t
/lU35MnKLcyBO1Yw7nvl7tuhePNV/o75MGE7EQtdhbuH3LFeNV4KgL0/LIOOSwyagsaA4Zl5Oxzn
BdezTFgfM8Y/bWCN/5e9M1mu29i27a+cH4ACNRLdjV1v1jXZQVAShbouEsDXv5H0kS3ash1+cW/j
RjgcblHkLgBkrlxrzjFXpuPdJmnEP2YBHwvq+DbHv4biLIBimOyo3F6owA7JBJKCSmdl9e5xcaoi
GOrk0m0Ylvjy0bD44/VUwR1LT5l0451V9F/sCBcytoWgLrBaY7lSRYxhseGh3Ng5MR6HWVgXU5bc
t1IiSOjQz2tQguvEP4NM4a8tBNyDhnvGSx0kEXax48y0rEcz3biGxMNg1WLVoVvc0uipaFRbLBbt
fFuMDR9NlOMmpu7EapJstNJS1UN78Kz4KOf0W2w4yTaS4hI9ya5adp2PXVzs2rmk0XImtOyOcXi2
0myge7pwdih88LxgP4Fy8dkSShUTfWbedWabQ0vJocdcrOYVF7MiQUmYRbU+ticen7tIAbYTSNtG
7QEwrkDoMBLZI2Dam3SXxj5bh8Kqr5G7KHNNmbhykzAL0x7jsap0GMZAMY9wr2VhrRJgQOO2ykdt
vgZy+lIi2dbWdlghv1g8tDQYNo6VxCM2ZVDZdA1Ajx/Rqqq0rYaSaF1mWGoSu1rbRTasw7F64vy2
bEoxNrBLIwOoUgpgsrxFZT9tO4vzfdo+YtlxOOwZfNKk34JGP8Se/QpO5GpKQMbFXp0hOOoLILI8
IVlmN0joR2OlzdXEdoI3MdPZ2Dq2NK6funbU5oM/oxmJz5oWTWle2+up9y7GHv/T4J3RU/WRH6Sv
hj+vO98+MxZ0YnVVf2ZvoaeYK3+kuO+SxD72GIkWBD27JdVdEMlib4/DVYN8nyIPAiRHiRV1jWQ0
U35tZYGcJNYCWmvLtuncM7sB0ZiNm7JHau8Uldyz7p750tp5s8NmR8dqP4w80anJCzotPnU771ad
MVLe0EikswcFi2rXN7KXrEkwY15mdcYKMK+AUB2clj6WL8YLrSubVYnzs3DSr3RH6aUYcyDn5KKK
9AsHBWpejhe2een2BRDJZt22WnQc9eoR7N+hj5Pn3uvva79qV+mib4AvTa53O0UdNOjiYm7MlwRB
j99prIxFdFhmbzmkQ/7CG7yPE0zfHrXgJu7r5MSq8GIX1fhYLKiJqiY9TYDJ1thXgHUWy7kcZzNo
XOOpHvXXKc2upSxfs1pgb0ejVMz+c+5UIJjixwL25//OtOP/4IGeSdufH+ihdw7d60+mHfzWD9MO
z3d0WPxUNHQh6RD8MO0AIqIjKwUl8s41+vVA739CecyP0L0hGkUp8tu0Q6APYTbCaZ8/inbE/yci
ENP7w4He83TjXd/KWxCo8T8e6CcZRpDxQvsyW2pvPixuVVifx5jy4RLqmlUUTC80cy9C1Xga4tvZ
ZpSeuTYLE+or3JSYOYDgZpvB7+1157Cj65K9WkwW44axesXUFeH+TV6XpqP2s6Ak4ybCIMyJognT
q7QBNRaF/Qa1EgonAe5MzDjhEp8xCdL7EIlpNjJxLNge2l65fPrTUNb+yvCSx9FwrxOr3Ll50WLd
WpfjsksaXASjXugwIarrBZBB5VaHzu7QVuUVJMceN6cPgI326PLqp+216xJLMNCaZZkyr0y9z88H
e6m2MA5Laqa8oqBvvllh9DqkKP0Lzdv085ucTE7cDgYwzYrWeVGeT6b9WJcRrAuBKMDugMq2lqyD
rDbYiitk9YvgWGuM08laknRjtsvbIMLtUI0nw5c7w2MFr6tdZ3WbFgoq7Wqg9MjYg3a03np6dRnN
ClgoK0ZPZyW9vMVB0TpEVJ2x0vzS7xOq8Zfn9b6gEzhV6V1OZ7Dvy+u61U8xHUOgaqD5SA4YuaSD
airqU9KWu14zxFa49dFwis9lF8M98cIzmtZngDJLpY4s3SMWk/bamBhovOCPisxNZ1VRea0t/Vzv
CoMmYqRn+hM8J5+6e8y+ILim+01NkJjDF7+Lt57pR4EU/DgZ5BujjC5Iu4kzxzjt+zm+sMtQbDQ5
zdumj79Jjc5lKuZnFN13/TJdG6PxAk75yF7wnIyM012nszZeZH9NzOko9Wh+yeMGlUtfAzC2SnAS
7Yi5E4iG015DEdx7rdDOwPrezQkfCwgXRJxIXNLQwikXL0ApnPUQ93SIM9ff9O6s76lvjbSyYWL2
D2MPELGo0Q3kADozxLg7R8PXBaxvqg0HQ8hIfVHFXyJK7yAf5mUrJJiedI52ptY9J7LC0Bq6QSk4
8nFyZADQLbBKsIEYwP8maYcQW7SrOdSeULMeXSRUNJLTe0SsKIjIM6HFASkEXjI4vz01owcDpjqy
7Un0onUwNIId3s2+dXF/WRf269gxwcihlGRzeiFM/VRb8bhyK/9UQopdmSQ6BCmIjzZO4lXaj3LX
TFAAexRPdEvIxMzE8+JVmyJ3DnoXPVuZVd8umhuvtFjASDade0+LbyfAQ7ovn5rYTg517B+WqTmF
kahPYdU9uQxLaG/eaq57iC1xqfndday7b7W9XBRFi4ONe3Nx52VdI/+l6IhuRlxnGWzKaEh2bRr7
nML8csXT4750Y3eIzXS4CcUYw0bOtwz0Tm7PQeffXjXNEnYk5Bd/vrWdvWY/GeOr3/l1Y4PlZ6NB
JNPGxlahMHq/bmzWJ6bwwD8slIVQ+/jR9041bjTuUGxnHj/8iPkTnyB0Ocz/SemxKNH/0cYGOeT3
nWrvXdmoiCJI0UDIf9zYfAu4KvEuzmU25tGJkJAmvJ2AfDR710wy/KVMpWfPVoxlB9N5nh9IIpEQ
ADVnn4WQxIvZLM6l1H0Kwxx00cQkdmVDQl5ZHLwEomyaTOiAM/BJmp86594S4s3IwU0UEYN6Goz+
It4cGKMU6nS5iS1ZClBb0ankXk25Z7X3m1fdxj33s6lu7Fzd4p262XGa7nLu/sWqd5KnoVGPha4e
EMaYY1DyzPRQ+P3Of6PpzS4oLpdGHEyeMfqmeKe6J009fGVYnRqeRsTFyYFd5iln/i14XgueW9z2
5MYIPyY+gIfa4OnmaH+wRL1J9fCZ/syrEj5SozeAANTSQCecB47VwlLLBi5axeb2T41aUrLWPGVd
ftFwJuEQGJ03rD4Q3i/7pfzWq2XJ76tgqSS5KGF9LNTSVQAax8W9BltAPc7i5i8lnGTWO08tfJY3
Y2DXnkQbX89qaYz79DCoxbJRy6bP+lmphbRWS2rK2mrK5jljrWU9qQLHapdtNDOgj+r4S6eW5lkt
0qUx71xW7Vwt3+CsLkq1oEu1tDPueqjD2N5Y7bdBLf6u2gbCiD0lcqBDe8Y3TW0VQDEvG7V5LGob
GdlPhNpYNHaYjJ0mh6Prq60HuEyQqs3IiYhnmtQGhXnwKNixPLV1ARrwAwixzza7GsODl0lfrhuh
3Y0t3v6anZ0sq2/oAejdyszf1B3hO968z9Sm2b5vn+yjk9pQNcOJsKRH25S9lgQiubLYfT12YUjD
/DxtaUGZsEo+Y98xzybHiRE3DFO063Fn5msIsPaOz08jfTamEmdDMtAWxNvi0SL3aKkXrAZrnKal
v2lCfjlT3ziMavbbsF/Dv8EgotFVWYUZNRZDn3g/j/rlwsNwPYvU22WakNe1KsUmaR4tK7UC+g7w
VfidJam1yzTCBelNegX9d4QS5jQWchBj1je2lUyHwtOcldNUyVGIadl5oyM39H96TPO0yPVx3Eqa
REKPLunrYTo0jXNrgOgIE/R67rxo3eXpReOilDeNRymc+RZsTfZMoBIdiAbulmVMkMFaiJk9N2Tr
WhlH7QjRL7ECODWtlYVYgDG24L4xqay8Ugc9IElEoR+9QdjgrwibOs9MmqF+aa4GUixWQ46NHF/p
53bQdgYjktVotYfSHWBbOeKoCcs5GlEu1hVgCdUJaV9MrwEkx/hqA9YTCyVF7aqMPdpk6Ga2ZH8w
YekX/UtjmE+Q08OtT825AV0iduUysSplubOrCphdHfKj3Zg11cow1fUN3WK12OGp8eMdrviLhCcK
iOCAgaS9jiWfWgcvZETVCUb4LikozSuf43O6tOeW5YtgonvAmoHVqieoi9bWlsnevC3KAjN7Yq9b
1TNnznAS+EVXsoaN4mTPdFd2g9bdLtk4rqA8EGMl2w1w4fNuaKPtPBQwezx8b3W9d4fuW2QRC+Cg
AVvX2Gz5d0RsnYupuCu6ND/z4/Gq5BtdVXbib4oKq0ZEDQ8S53F2y6206xNxWW8T7PhVXhXHPpPT
JjKmHfLQ238rhPcKQXnF/7xCIFrpdXxrX7ufnH/5xV/LBP0Tpkcf+qbyPL7XAr+WCQy0mSEbv5gZ
HGX9/l4miE+Ozi8xuWaXRozHj76r/bxPnDHwR+BmZ65t41v4BzCwn5QJgjoEPo8Lftj0fe93Ut0y
EsiiRgHoQ8+jPQfRXRxxTuPYdhq8kWbPYHZnGGqqnaUvkBBAIpSpjeCL5nmraAmd1u2B5jkbn1Zm
EEnXwi4XNwFSswUEhDTXcS9UipsLBkROxVVDnzVWhIaxhdXAan+CoX/WAnEQlY+ADKxDM9ePIdOF
gA39fFHkBxLBxj0j6mNUwOfIwEMsaqIc2d45sYP3kYJI9NAkfEl4YNkmoETbV9OxOf8AoBgLp15J
Im0IcaBllo3LuQuuYlLcCsOynnxAFu40nnzAFtLL7zSnOO85wgZg3e/LlrmiZhDPEcqTt9g3JZAM
I9KeTaAZEdiTXocx2YHTqL3qyQSvYcWMQ2IHG9UEUZCb4rXPBcJkReXQmBQlitOBLQmPWwsqaA6b
eSNESfLfOLJ1gPhoOVuDNbH2laJ/gKG8kDncwmiRxs7J+m1Kp3nKyINjdlkGmrlAuXC/mGBFsmHe
wiYvVlZUXk2AR+a4OCRmgU/P667cwbuPmzDa1Pb85KrReiKBWqFJzYK8TGjDJXNHZ8NDwMmkZiq9
rRHnxwkeSrwUwHN6896NWwO0vRkGnKAu09EzL3J4KpOIbpsLO8bKi1tcipM7pylzb32beCM7UQPG
vV/STc++tmsH8RS7aPfYm+C+VckO2AE4pKL6knku6DVFzTEbY5vDgJl15KH9vE+wVGANSD+3rfXm
OeYb+lJwRHBkFOCe0X5EKNFYbNI5tx8sJyPLAzk1iAD8HxBpoJYdcgg1zhBvWxExIyRQZDMrjI0Z
ufNOvJvjS2foN3LUrpNafvWXTLb0XYFS68BFlwaiigdu1NZgKTUASH23ov4ymWOUwmMsZou9qZil
VTu9EnVxl+jVeuyKja4A2Ny63Ec+cLvRCuKmH285/TdAXKKJ8T/GDcCOHsK0wdjQ86DMdvIbn+mc
i9YBTlZ8KH33LBw7Azwc3NU8SnkuvHzYiLQG7Kn4rC5P+lZTzFYdZv5pNgldBOdqRXBdewCvooX0
quKZmMjwWeJeYmtmvNfZgEUjfbmsKp6UVFFjrbhmAuKcxYWuMxtI7ZWb8gWW7ksPcrarrmEg1Zhn
xZUQRXhgTnAxhSjKR4i1vll9tbucGhWWbWEX9cbLumytTVq2ZprIwcHBr2o3TrSOF20HkTRdEHLA
yG3P0vTQwc1NqgbQSshtMBbh66zguubcnIcKt1vC3Z1qe18asYbyMn7QouwtG3hkTGw0mxpqb+dD
xlAYX85BFuD//A7n5DdfsX6jifvOUvjfikLbJv9ppdWYv8aoKc80c3LODcDBWsIUaBoJFhGKKuz5
S7ieFGl4CMMqiFrow7Ecz8c2Y6SjyMS5n9zGLXezY0fGoc3TeGOHXHHiRgjtmpfrKqxdEOkcJqjD
l6AGgWw1LUcaXmkVL5wvcMUTN6SYyePcp+uq6e19zPVSXOWMdB7wEc11YVunHPSyHup3FKjV2jDH
Y6hYn9a7V7l79y3Xk9E+ZT4tkY3blW4adEMKUZFo0aAfrcIEWhuW6yZNumfhR/F/TTb/0/L//3sN
cSXJ//Oa4LJ9LaOf9A3Ub30vCAyYClgwqDBwRn5kNBjik2EbDrlrrgBKozT+3wsC65NPgC6NckQe
ZI0o8dv3gsD6RIWgfJT8WSV/+2fxANZHLw39B86t/H0So4lOswzxu4KAEcqcSE8PyUs1UE8vecbx
bPDDkzY1+qn0OjVl1OfhxU7jI5b9Zxxv3M1e+gXUoMEWT0d274JsGzeNpacHgA31ZkqZ2gYmLKSH
qAWDhi+ORhoFPVxkLU1czOtM+1/psSZvDMdCjmmlo8pfDo/lhKwunJAkDEmKIz7vTB9RjD1u4ab5
7hFEmr8ChEVXcMB4nCU16tbU4QwwIbrXRIQALIOW4yThuIpN/yvzQzjUs9qMrdTf5gBhVoRBzStE
98d8MC7rpTp1jg7SW14b1oLoxt+HlnbGInkwovgwJSFsZwXTJtIExmA3wn7q7Pistt2dXmtX6dik
N3UoTn0dp4EbQayCHmWclTycganJbDO7oLjaWkvXXjNcTn13qWWTwMLP+jzbxmapWAPJoGOmmIOS
qoPEmttvmdXfJrl+q7tG4QTol8orrcmWc8vOtkVTbyOQfk+McAMPHUwI0ft8tMGVWhUH6C5iN649
yOcQ1EH1rP3ZKuhGOnILxK2nQFtM5nfFDiShj8neZSwMGzPEzb42DeJ9RoQm+6RGYm453bbHyICo
nI4GaxZqHyToPlTj2iQqMiF3b7G2MD5Qwg+1fd/5BmZ4uAjtnIsthWbC+LQIpmFpGUZ69bOD/hY0
meYnOEZAaQfd3Ka7Hx7Fq18cfj8mX9Cr+0G6KVS4hmDWRBIm5FsdMPPHhliqx1LP8P5dmHpcby3C
pF7jWemF5gwbxL9nol/ORHyrf77+UUf17et/uOP7158ci37snhqExLJgcfYxWA3VKvPrscj8ZLMK
Kgu4iiz4cRVkfVSeKd+BmaWzVLGsfl8FvU+4lhxHyXP/P8aCytT1w82iTKIqdJPjEFN7/lMt3B9N
UH7hLX4JSP0yHxPiAYO2qfRjPhn2scRvlAapW9zPaUR1Cb9AAFVYpw76JAnbIC7RtwAivJugHmRi
uh316WwOwYDUMY/zoBAJBI6RrNc/yGK+8GAogLGjJAmJoFYkqWli6DG4waS4Cws1VYHNhEGlTw3v
TzuOTd8sgfxJvmd1KIQDMUPmplVYh0XY2yFNIcwq5AMDp+dZQSC63J43fj8DhoAQYbvDsLIVNIIM
18CqFz2YJaRIBZZoIUzkPK+9Qk4gH1o7ifzsQv9IFZTCMbwvUMqTAFfxk9tgYSZ7FiGmYOqCT4Ws
uic3shFe1ksQSmsbK/yFBTzGVECMsRL7TiEyZntEYQk1Y65CJMHTpa5wGpxsnhMF2CjsbJdB3MAd
U24NBeFoR5wFIqq/Rriu1xOkjrpSnWhlyiBW/M0NzeUC5sNrgvTpxLiVsEzHpMcSuWhphHFjYs5a
20QtBolD87aie7iTMjsZTjNSAnEWxeDQ9lsiP1HueAnFm1dt89nSkbJNxOrFVGKRv8DwQt5yPuti
Wmf0U7eC0IJ1mGOH77mbV0jNYnxRxEHOehJuSr1Du6BX+U74sr81ET0+EFgRrytdkWW7XD8H5w/X
TWbZc9WClsdN4j5xZihuutZormK69QdhtNNZ44dUsnNeHYk4A/WB1Cc9C2VZq4S/6WxoFxDaS6GH
nyeRaIJuptYcSlO/zirf2MSxrO91wtzHXSjwlcKVjr7ZgtNDofJoZE/wfEZEzVyQkNGlHKdHlV/T
tWTnEWhDM5BvXW5Qq58hCnnWVfKN1gwXrcrCCVUqjqeP6N5UUo6nMnNswnNslaLTFDrga5WrQ8AO
0ZDRKlOZO6VK33FVDs9ig46tVDaPp1J6qvfAHjO59az3BB+yfCqV6oP/a3zwCZg8uOgSVrFK/wFD
BB+PQKBJJQORP7ieVFbQv4v5L4s51s4/X8zXb/l/Lrjlf1LPKljG93rWtD7x0NOqwnbBQonB4reV
3MaZatLBsr+jEr/Xsyo+HL4GmeMqnFc3VRX635XcNqhndQ8mIkXtP65nP276gMZo3OObJZAL2r7N
vO7jOt6HQ9rlS4k6FPeSniVnXpQF1jhvfvhmflJbmO86kd+oAnwSJghqy6KbRzI06bEfX4jM2Awz
XyavIBllB8gNwt68g7ESMtwqwNrQRz0sSn116c/DWZPV957ZkqhItEggSV7dZK2RncbWQUcI6z6w
5h6SmAO8N5TtE5j9OihEjM5BuVDjLr+teUEquvyq0hOmwl5J1l1jNkiTR9Z0BiY4HMFMF5NiTpAD
YgAN8x3QRBZQndAdt6bt9OsB0CJODgZInv0IsfzctwfKacN6iu28Cuhg3XKCvtEKmF+ac9EnKPV0
iauLOuvQ+uOFDIuINcS4Z9KNfi8ax7WpRmTDiI1AW2hFD4++aN9A6b5Exfzcqj4SADBEGnNy5bTh
yfWKZAtwc+/6Yct8reUKte195Ub7RDCghFpwYt76uZRxth0LsLvuCJgxr6Z6rQ3KSslJHuLF8mIU
hVq9wXYJFuY5x2hRo3nHJTJ4xn3bRdBpi2EFT/uGsntHNbGndaStmD4WvFELzwMR0UFsOrfaXOdB
wcwu8PwXpNQbHbHmoCwi3WBDDsGLJ1Apcf3SHc2bb2Kmmaa7zjmScVQCJXbhBq2N4c0XJgC2aUbc
I2Mj2UK1vSJTMt1altwthX0eRWG06g175498t7HMOJe4zriuG9BYOHIxVt9UJaJoSOwPicthKyJf
EGVrftvJ4WA4GbI+S/8C6A5NpZwf8iRxSP9doLWQC9PFoJbapf1q5OZXU+ZoaCZjX+X+geAomMdw
gfFVXxeERU9e5Z55Fsg1Ny+/LGn9FHsYhAq3ukPKgv648bK9HJAZejIwrXCLbZKkQ24xKFO2jDfG
FDevZEhE7XYRWj9zSOIYhpMhQ6E8my0zQVs25Vr35NYQUnkk2+mY505Hc8cI9JDGiW19ZeZ8gGez
HRf6aOTR1+MDun2GbJE0mDY5iVKoTEayzlLzYNEIMjBF96pLKJpXBFk3Rqa9CZ/L1CCyAAkW490d
qce6Pphw+jBHNA5a4eBCluOZaNE3aVRYDmRp1IJjoqLk5LObeh0Drfo8SvQw6OoJEZiKFu3O6hSK
aN/tpeyfSM6mxwN4fEx1Elir88zlkbXK7ApZyCnXtAPUDQh1URxvyALAHj8mX105FyuiISzCJI0b
sn53U9W/4QKTnIlwsrr1E7Mh0qsOsd0S+qrtZ9dD1ai/LM6cBV4OoW/OX3L7dpQdnuLhWKOnzRlQ
wugPzC0du9i3e7pK1kYS4DEC/WqNGMnRUo87y0v7rW7gao9G+6W0DYJ3K7kOtbaFUlrvBqO8nCv5
3FbQNJLZfuh7XZxzVrWbO1UeRcJuw31lFkb+d8voH8AhABEMRadkGoJEQyGjfiy7uw79bji78xVA
Q29l78LjdFudH9J+pb2Wj0ANDzhIV+EJOdGwhn9z+OtlXKENPi7ivLzvse+AGIAM9bsjYhsOzqi5
w3I1eq91ePB1+I7TC1kpvxwP/xSQ8rPXMdFleBxEyd/Qf0/66NmzEiJer4zkLKaGzvM3PzpIMHB/
/Xk+7n5qU3r/PtkDDd3wSLT6+HU2tKidAc77leucWhdELU1L+/GvX8P+2TX78cP87kWGWNc7E3jt
FT6AB6TGm3GvfxVrQcDJecE9trppN0zOt+b+/kKs89XFCETnoduEm+v0KFd7ivszZueraF1t+X/z
8Nfvz1Rf5u8vqk3QpcewHznpO4H5B75OTkw9ujzduEKTchFe6xv93HiMjiad72BYz6vjs7Gbgotm
K/dAUYoTSsVrXPVbgMPB+1v5tytqcE/8eSGJchQSwtf+jx0B9Xs/1JEMM3Ul7f0lAOlDHUlDADmV
o9MzeMfa/rcvSrEIwo0bHZgK7QDD5An4XkcyeNUN06Yoc//rF/4Hg9KPT5KqI813tpCBrMWkXfG7
hakfcLN7lSOvBv1IIy2db6rub/pTvxSjH+9U+g667SMDowPM5/34uML+t9I06+orS1KydWgjOhbp
2DJL6ypmADWqkmLKrhe4puIijmPvqY08M7sWukPOEnRdk7NhDZqoOjQxgcNhvnGtBMojDc9hseBq
5lehoxE7oR3mzsemX932OvvVHNNybLybKen2hJVybi7IM096Y+3YzZFg4ktNZJ/zOXvVAGkMdX0A
KPDEPA6bSxJfRn23EWZ+8GLipI2p/dYOHgHSiVznje0hSIYgqrFdrAi03jcjet7BQ98k9o3VYb8v
nyJXP+g+O6ll1EeI4G95hyQrnOxVPRdvYc20RRQ1+Y06TdKma7fIVs+g7cs1WhGwNIQJUMDqn6eu
PFq2VqwNu7wbjegYmuZ9O6HUMZP+MSvmLohn+aVz7eNst+W2SevzMp7k2m88i05H6ARh1d62CUgN
z676TTRb50XEptp31nUuke4u4/CkpRYndhK2HdMDu2H231IPlrpIzIo+asVhwz55srUZs4IDzrMm
3bs6hBU8dVEwpQNJNbWJ3HUUBKjUy6OB3M7icq6qQbtxJICuwszvZOEzvxLZs9aQBmPK+uDTVrrI
e2kEsZYdO41YG91AJ2OI6Czqv1ikd/n0jZJCggOdGpxLefkYLkBqwkZgxIyMYyvAifajt1s850ud
QIGRc8uo3/4iOpB8Ik2+iYIZeWSLZd30/l3UuN/sRAZ6k7wlDQpBo0v3sUnEo0HXp4qKq9HsPhtp
qgetjV2a08UhTzKcsmO/TQQBKoNF0WB3vdzYmu4TFDFcDb52P0YDRI+8Rw0btxs83bfR1DfryouG
oAytTW4DXhgjj144188X6a2J4I48YaxC/viY6Qtesdn9lpKQ5RiZmsdR5lhTxiAtjLPzssjbIEqT
OmBduY9IIy9tpybp0bqMcs9bx1UsuVmnlzHNuXtkwyBV8n143vKcuSElL1yNMS3fbFhC27HV77Mo
x7/DiG/SVJBw1OPr1L71mngGCMN8NIsDzzJw608hud7AUNzKZN49Z4f6vVgi06MJyc7Bys2pq7lz
IrmsYHFwl/t5dp/pln9wlim9ci151zTmXlvqNximhySrc6bk9Vejb1SrHl7S0OMyzSRWgDZJH227
h8YR5kHnPqBNm3Yz0VxnhSL+a9pNO6R+QW8yb0B+FOjqR8bzmsdcpQXVFnS54wD1A3eB0nKqrHPk
aUXgYS3VYK7UPJtqGHzRVd5TLJy3RJ+aFctag1vc2BZ5DVCJ7DJhv2rTcJJ9wqR9eI4Gm3nlYt20
pbFhPn1Tkd0jDe0GNsra1aIHM3OfO6SnlaGffEkejieuZjDyS9dvySUj8H7+iokpR9ifrrOuzzYg
P4KMubHXtSRB4n5t6/HCQ5fdNoijmH6uoQfIVeVjX0uRnISadjn37UNBTMomNLu3jpBKs5kete7N
GbgTR9fbWjasoSBECF6s/FAiZUyHWdM2+jh7D140Trumac0gjZAJOKLu64sMwUhR2YygF5IexzKi
Q5iybq2yyq7nVQFsatfPDHoEUUErYRUPWdNt214+SZk/dI32rBetda0PznLFhtds27x5bUzjELfW
1ykUlw3hPH7uR4o2Q5wIXth10owC8G2ebIul8O/sQsznURHfJlH0GRe+FshsyE8tBipsJD01con/
2u7j59LkKsr4Lkkqcvss7TiM3dOA3BL7LQFIoTr31Ly/1Ziw9wR+xhpArIO77oZ6udRQ7ty5KVbm
GTz2JmpJyOQp7x5Dvxuwo3rAv8tBrJu8X9suYNPR6CWJWrC9rKKad7LUY8ZUeFUQQGKWzBNnL2ku
77tsvKLbe8PQTJm2duloj6tKC4lnha2wuMZdDWCgNabbyGndAz2JJ+KWUJFES3jxQy3yk9bNH8tD
naMg83FXIA1GdvVx03WJIKTb0wxXFfpB17hMxZ3LuyYOCx3T39TKH6uI9yaREK5BpqIF5I2K/ONr
dWT/9Kbs5JUIAZc/NPM21v6m3P27l1A//6HaxYqU53LI5VXNg0lO8CoeX+z69q+/s5++iO9zgKG2
MkxVdf34Il1Mcz4tpbyy2rumOps00kv/5ij2x8ui+om/vYQ6Qv3wOXqczZFhT/LKFrdFs10KDFLy
svRe0/lvXkmdTz5WXR9fSb2TH16J9DancBHCXDVIP40ShIN5HFC+j5uxOC7F8jdnsj+e/QxBx9NB
Dsj0C9LNx5fro3Ra2t6QgI2eDAasnnsXxae5eHq/RP+eNdRh+c/PGpv8P+uqff36M8wQv/j9sEEq
EKFfRJlbNl26j+NHAxGGqRPvYypotbo+30UY/ieVWkGX27RVy1pZLr6PH5Vg00T87RCdjaDvn6ky
7fcH6Ld7kvEjIg8EGJw7LFYJ/u7Hm6SJwsnRjJGgdbt6kCppeSRyWaPNjq2ga6+0ReUx05h7cuy6
D3yVGdp7PO2igIHYaWN5XCLYidlC6aoT9Iz8ykOYLBgVGibZcgr/UiQL20sLFrG3hwpBuz8GDbA7
JFjLLaGEjCQnETOK9O59ihA6WOXWXVA9eE51ZLGL9i3h1H0yPUJVUCDB+ratYqQVWuLvDT36Uto0
3Sz9BEvvotJjpkMq/VpvU2M7O2yYNaCfXCa7WWVlV4Rmo9x7DnsT9Cn2/5hYbX2M8i0VKEWkpAxx
J+ezy5hz36s87nZy5q1fTW9u5b55wk/XIPaIHGjGc3+yngAPl8d6yEkvJerbHAFkqOxv3uYXvywu
MSmwOY9eoMWkwz5M+NM2pm7sMoOsHYdgHYhp26iCLBaiMluc4s3Njc2kQniqvN6RPvbVa+WNdLNo
z8xSYOADcJ2RG7ZOsS5vBm269EDxw1MxHxIif0aV/WObRoWJmmyBUiUDpUQE5aM8WG7/UqjsoMaC
1EL25+WicoWEPj+IHKDf1dQxeKv7aYEHR/vNP4u1+tsyxJBaOIVtunSwsX9Sb9hLPu2KBG1sk6T+
oW7m+NrKzHvYaORyz2jETRETqZL9P/bObDlu5Oy2r3JeAAogASSAy1NzFcniPEg3CJISMSMxT0//
r5Qst9RtO6Lv2+HwpKhuughkfsPea9ufFxPmCFVP0D/0Mo/OmCSr00JxEkA4zA7cwNsxNe8sNIEM
NH00johD8cUnT1o0Cuav91e2gVDNjuADVbKaNq7CJmAY6iZKQ5AaLZY/aT54BsvvMSXNvmcJk8uT
05d8xSyjw3R6rtzkq2cXl6GRQj+2auL3GuzkntG/ApxCGujYn0nT/MIon+CpyNvPgaPYpadgp5Cc
eqrdICTZGQJSTL34u7nMNlPqbco8u5Shd2X18CT8GcwCJhwzVz4RKj5kGXeGmJfhVBqM9N2SxgvC
LNSy010ed5fzYDygRP7SMZpjIRGs6t64qKfmbNrh41SmF/NY8NsKxVNUYLKMm/AhnDwQX3xDlYic
nV0xI8/84FwKwpG98ZGLlGiEKE8JWGd87yXmG+EYd2OTniNtSwmJIvG94Xq0nDt75v9LESa3TWsd
pU9aMrxwjQnq5XhRGe5bNHdPejUSlS40UPc6TpaDjaWgMhOWK+384va+v08j2CNZgm2WYw5KSw2c
IwBwQGMNE31ImpemLU52MFxltjjG5vIERsbn+wjtdW2Px6pxkzUPLKBRI7+DxvlW2UVw8LIc2Y70
98BKaNOSzt+GndJJGtBfaXwOi4NoOa2K9AgcZj215MQLGit94nJKWVB4nOFG9SaSzrozd5BfbiMT
JZiFS9XkK+BMurVn+Dx98O5KrMOVJx+FdNA51SlhF9AjhxkIldJHXBND2IjMexGU8ENiZMNVS8oi
6NcAT8+hQGtr5R3a6aKTa8nz1i/RvWU6b16BUTgS/hUtZbiPIsPYsSu8szwArnWUWetZeG8i8bKt
VeYEgslqO9vGsioSQT62P+8yCIVNt4T3ab2Q3thYD2UylISoecl7FRtnqYZhq1rOiCR5HuPhGqLa
oXD9j4Vx+7ZDTg760wTFWleIploXGRs7uuK5gHEbXS0CRVonBwUpzb1w/eYh0MHvjY6AXxb1hYhb
zFDOYK86cuLDgQh4b2jfEIvV66VvbpwkP8eRdW2TMT+RNW/p0HkCgE85sShg1XNaSPeWjPkrmnFk
HDqyPiW73ifDHgoHQxUda++CnGdr0D/YJN4nIRoYlT6lA7aajLwofprlJcimq7aenwoXZ9OY3vA8
8CVM/WORWWcixs1VpyGyg1kCt0LEPgXdfWmTPwo4yZzSC8ecHkuBtsVxb2TUbqoA7JvPf5ic2Nt4
uWQF5DpcchLVQJJi1ilN0dHYSoJrq0NZl4cm7ZaVh3spAiLGSWTPK9ciL0RaYb6XVXpcFt88Gtl4
LFMZQ+hBtQ1oWBzBgyYbsmP7LWyWEoAbxKGRqRakOFaSAsvwP1XZDykBbdN/r8r2+bey/Ov4V/da
PysyYX0iNAHqgxeAgvhedv0iCAsYH/BPdvnElNE1/VGRUSbh9P5Zkv0hI7ADZAQE3Af8C8sP7a75
G+NfbL1UXL9VZJh8Ke34a/q+43w36/zaJZSY58TU+8G1wA6IvNRaKoRY2vtvG0S0bt24aMMvHHHN
LUIuSAGFhgYs0ANkGlw2ZZDBFcresKGdZqhSg+jwfDnkFa0qO580J2E5lpNdb/shuIVn+AGAldDv
xoebJBjECLa+CVC7em9CTfWhp06VcTCS/M1twPV6qbqM0vE208BV2TWbCBejZxLGBxcRrvC4Btpr
8PrMe+QSZwEqKxG0uKMGuvbmfCA/viFn23pLYb5O9eAeG997qaDBLs34DjjnCnJD7mrusPwcYD/o
NESWGuFbM/ubTONlU/RllAcgZxfOUraV5VoM1qGGSjtoPO2oQbWZbTTMKIDXmjbZwT1iuU2rlmfQ
kle+xt2C8Cc0WCNwBezI2AEwbffRrtGYXItx9zaFnOtD0KWkZSCuoboWdN0Cyi66N/Bw6nrS+F2j
CN1doZG8IMiPo4b0EpcGLozF78Yc9bxBw3yr7/FPRoExGdJvBfG3cLNji68HrXD6dS4Gf2VqPHCj
QmoxlqV2RBi56PFmWtZHJ4yTBVsY/dRlqmHDocYOD98BxBpFrDSUeNZ44glO8QKvuDDK8YXf50Xn
flkKeeUQt4k/gXYwPZkyvB81+LgBIdJu2I/W8aUhyh7eUZIhU67yXMW4CLoswJ0Qud4xb30HNNAQ
7xPfZ1sOViS4EuAITl6mhr0AknPke6nwj5pJtSd7MrgPQf4iof7uca0V3MhBG1+57Z18k2s7rDXr
katXNuLSI57i2VfSZxgJ2OKf4/D7cWgh//nvx+GxqL41yWv+1xNRf+7niWg57LbYglOmfD/1OJF+
noiWRAhLd8ph9N0EyKd+noj2J8e2PZMNFR/8oZ792aOKT2i0INeihP6XUuvvnIj270MgbRRwHYS4
sBQExyJZuL/3qF5cN+Vk1PPVZFf4j6wM0s9V5SFP+jCXpXTZB3RmxwjaBqW5HJTMshFP9ZQyZpNO
dhcKAFc+VdChsQZvXtlSvEfoCtcqCF/RQt1nYVbczBl6mHqRYme7FjFyjtleKSk/SB5nLFwg8bRK
EPNwC6GgtBi6OjmSUVRY7uUCZOpolHnHTgrAIwFqEjVLmkbNuYItxMgzuKReyC6oLMpNW43zDvWV
zirK6LLQGa2RNYFRBfl7dob5lLnJpa+68KJI8myXGYARsM8LnwWQxEee0Y1OgRdviGrHHcYiYm1l
3wNuGdvWfo/sxTE+54wYKzmVJy/uHywZm0zkgZsBUavwCMzGuUnl+1gyja6VZ+0RuX4safoFUhpV
rTNYxXEMwdJUTjo/NgW5vvirryIoNMc+Tr910SI+s5sBngrOFwV+Xm+8Nqcc542G8xKUBE8aobWV
o2mcnGoyL92k7PYJkiciZ3t52XjerY+17J51HdFu84NR4WFUTunsTV/dehIbEjItfJUmQT6xYtW4
ZJ5m8I3cG3NmXFpxT/c2N7H7eagiKLWmnV104Wx1ewD2MwfLgsW+uY753Q1kKyRXs8ViaWVEFpQB
2j1zDNZ+YMBu8QMyi9CCG2TKd7MgvrDPkyMRCMupGcrgOqENqFdq8VG/BHwJ4XUAWA6wG+GXgxVk
lwLGrhUVyz16Y4zt/5xeP04v8T9Pr3L+D9M1ncT175PL/SRxK6GHdPw/QbyxOKEVZXpGvIhnodr7
4+TCFyUp/TypHUgBRdYf0zX3k4cJ2vUxNzFh+9u13O+KFUSneKtt/TPgPsXrZP9p4mvHeWVFg9ed
i0zGO6XyZDOpgoXnLTKxBW5iEsTEz26deDBjuoIhG7eu1QmLLkHM5bh25sTOL2o/qedrpjOu5678
fnQb5hOTrIHju3lsQ7NiBcmb4eQJqB8jTAexMcJAlV+WRvbOjdf3QVNuPCIBnAtgFGM7rS2jTttX
b8F+u9D94dmFpzg1Q0A41RA3+7Stgqu4NuNjRI7Kqh5H57FWELZ8Wqy6VySkOFnK/rseh4tkBngM
ebs8e3nW30FXGt/M0nUrhmBx9DY4zbTLW7O4TGSm2Leq8JwarrNjIBIfqNVR7/ijPd9angiPMD4J
bi298WzR/20aKNNq9EnsnIRoXiH2t+u8Ay65jkGUHmNIBA+gSIBRxqX77i95sB/ifGRNjaCV3nWf
G4595y9mvp00hjvvzckBEkuF5nYdbGdpzueGWeEuQ8JL0rUFE7FtGZKhEYDQtgxEdYUmHZpVoWAN
glh8sZdquYmXJcVJLHrxlrHIvOjrNjrOlFMv2JZs3JICMXDFdm3xi/6677N3vtLyWOMaurfaxMzX
KcrlK4ecsJXrqfg8AxLbRLObnN2kbfdBkDfblDDd81KzzirqkrXZDH0tpjB8h0GZX9I0t099oXps
qCn5tUYiIEdYOVzsGFoE4drMOqZa3rK1Nnacfe2NnZBzivNNXaAYGy7aNjsBaF1QNBr+rnbn6WN0
SBP1qyI6TSpx+NlSz7gCZmGeiqRFqatmMNVdxxFez365ryLQ1Q7TyNXkNqwZFhGEp7wx5BPt/jPT
WHEpDL+65scPd0aGDrVVAoJt05jX8xKjyoTadYwSoKSKGR874Wq+ixt/xM881ts56eFJDEu4axkZ
R/+crD/Co9z/WRc+oCtJuvmvZaH+2M/DVWh7FMNCxOwAG6TeT/wsC5HiS8F59v2IpFz7V02oFfUS
1RQufvHjaP3jZA0+8b/zPFMv/gu0+DdqQsiJf+2SSSpmvRXwb/wonOG/dslGWXD+1W1xU1qVwyMl
ekIX5z4xC0bI88iUZ5oGOiriXd/rofiyqCXew6i+d5BsMKd/mwdkxFXPaoFZYl0hbO98yDy9453N
zqrZgRO4rCqEQUgsho0bzaz0K4kdpIoQqIeZjhYmxydU1+3cfTUk1H83GL86laG2sQI8GtDLQU2+
mJiU41lMrzTCtzEVSoTYXkiylQO9LX9GCUMKMJOupm/eBiiyS5HNe1P4b8Zk7eKxszB/RQePe6Rc
MsauWRyC5hk/j77xmHczB0lm3dtu9xKxfd4HvMmwb2x5HXEuM9QLOnjoGcqXOXpFcwL10IUMQ5d9
S6rStQLyin5X3CPs1ITs5HYSvOqm+w0K9J6G/rV1kgtHIAduQPRPvrhoGKzBIjkUZvPS28lRTT1J
u1n0olr5EhApMSpKUPu9DYL3RrTXzZI8u2p6zxy/2AjwHhsmNDcGPyzYofFQQGBdpR1ipAWV/W7O
kntGwOe+Ms6LXYcck8zjZkGmklv7xTFF+MLUDc/QaDo3hjtyQbYo25mie3jurYs0ltE+NXq5q6Oc
O6wHCNtOj7I10GLW5D163clXIB7MoLiuZocIxgyeV1OVYj8jK/BBvTK662Os87mP6D5uNqmJzVgO
IUqsXuC6y/lTbxaHBuhl6Hu7POlvpNljL+PWNoyg3jcgQbixfFKBsqNw8WVMHeQkTkoWV2YDNMBt
1o0wwj0vWrgeIVOyBUdstyD76Zq31GjusLLdjJF5jFKPwDGR7p2UjEvM+oGmRmWLfOyAlJhF9NQi
65amQLeyIA1ze6kzjIN45/fLCwz3ivlzdQq96tno+3aTt+OjERDnzUfz7ZIb9dYesvvZEDMhq5JL
w1IfRWsU60RVV84cXGcOmv+OWImVr8g9moZxO/mTuvbGIuJdafxNqhKxDrPgQNYI+0CAI69diE/K
bKsQ/EirBVvpc58xaE0e7Q6Nnh8k4D2tGprF0K+hH3T7siXU2x2b6jBZcD9sZV7M1XjllMayKVJS
uhj43LKHirdzWS8bTxRnZFIleaATajQbEuoULcdwUq8ZJnL9rN079smYPzITraERNXcKrb09T+kG
FdzWZ+nJJvYDBTWmSc/5aBbzc9AGl+aYnys2OXpzu3JbI95KFjaruajvYki1OXw5JGFHXy2smEDr
N9aEaW9i++S3zrrx5w/RNl+IDboYVXebV8ZVN6TZjg5oszDFZhNCBWZicHfLUazSPjNxSsd4Irvu
o2JGRJA7PJt88l6TuvlC+WuuWkXilVBIoqbRl5CdIVYwyvfRBDkvnLo1TnPyPIdcvneQBEFcQvPn
QL7AtUYMXdv3u3gZTl2Itg2DxJ2Mp9c0cRn1OBnXcd3m2yrqrHXr1AdZyA0RGyAc4um+c2tsJWm5
zSf6aELnxbYs3YaXTvFK+PIKWH26VVN4VjkbKqcPp7VHHBUUvmtVBfdB6BzsafbXsmR10M85WR/k
iURWvYs6P39pRiBvIf4IA5ohESD6xXbTZ8Tz3UoOY7bjWHXW5KK9TaWSK5JedsNYnjjQ72ZHDYca
OSqkvh7a2cDcHsvGgBhiH5vQVwdk/isXW0nol6c4lA66rvyyjYfbBGQPAPxiFSY2rBXGZ9syyvns
MNy7MvWBrfVvrcKEHlQNSWqliFnq1AasfuMjcCzui7hJMFsat7QxbwjpyLDLPeywhW+s84kZGjkB
5dkkr42RHhIM4CXrDq8QjOiJjTfBt6sYpuJGcWa7VWnu0sTsdnTTb32QPKuKBwl0xm7uIgaP/MqR
o1L8jbiqsFGY0Q79MN/pkOCKtcdDEDnE4sbgdWxFCG7vDI/xDJyaO3HdpayBE7cFgu8BrsNCyuPm
wy+i4OWJxXl8WRnLuCEW8YpkXYURjJ1iZEIPNDL56BLv25TzV1e5N2lUfZv0Vrl10hcpcY6NDWZg
2ZeXFlT6s+cuV9z/rIhIRsN3cQQw09DGCG36NNVLnaf5sV3qR1vw4uel/WzMznWXdF/HOt8FYfrI
ZW9egM4jjQPjV5tE115SPwDIOdgG3FUvxvyZ96pfzQ5+UBeGHSPzlRocBKYNbibhee9Q+Y0N+kOY
k6padrPy76ywqLdw+AhyX6YSdAtuuSHvw6PZzK/S4GHo4kHsssx/AEZEPxIaJ0Rvrw0LXsDNdB9p
tVe14vNedQMkykL/hxMIFOB7lU54obvkM5NPjyxJeWP28knBaAirfDoskf2RmqPHGWv1TBmaeOtP
ZbyTIHVovdpsRb4Ij19qdSRaz6yAF+uzbIczxiI01RW/2Mbg1I6JEdqk3jyupZG+EuJ0lSVjvO5I
N1ijdb5IBnSoTtfs5wUZdG+76bo3s0MaYfxLfORuZod6uRYkDyiYwluSQ7/C4JrwguOjGiwcyKrA
VaeQ9CkEHZyq8rlAHQW2F71yURsPcTM+NgGEwzKBPDfmJOARMhT1fsfWQNUbgbgWd3K9DZHb9lp3
W5jBo4MQN0LTvLa1NrcgugEtHu+TjXB3ioDOCaS8BpUTLyTq3hGZb4XcdxLc51r/ayIErqU5QulK
vo1kjxuV/JCm8WDYaIc9rSLOggzyBJpCkYv3AaFxwE0OdtR9bwdvz1Cs2ZSIksPSLjeB1ilPMnuO
iqJds2sXax8xc2oUuyh8M5E4Uxg4K8bdkPz69FS5jbWumG2fRaKOodZI+4ilIzyTq2JMH6yGPWSF
oNorArkSSKwdsh8mai7asIUxX6XKba0V2bMLp6/QKu1a67V9rdxWSLh9pNy+P7Pr1Opu3rsPKdB7
88zQ+2T2zkQKXqH6YP1vAbxEasOzcGXLpNuWbkpiXlbdS60pxy5qU15OnNMNlGytPG+QoFt+955q
TbqFOL3WKvWiNx8XooimOX8QWsc+ImhXCNuHYdHNeAmXX6veMUBfVsjgS62HN2cI94HWyHcy/RZQ
G8cDepwKGf1SEKyhdfVRsxwFQvskZXOD9r7SIvyWKs/LOPpiLdCPYaftmYXwQ6LeJ+7pg2615gye
PtsFNZ8W+yeo/rFuHkNcAHFWvoa4AtKuv3ZwCRTaLhDhGyDYgJvSrkkFx1GAs2Bywa+EeA0mPAeV
ExwDPAiEzNx02pOgzQmzHW9j3ApJM1w2jBR7VNu5a2KHb1MSB+rvLoe8XOTL/N37UBvukN3mbkea
4ow+oncr4x/X948eVJOK//tu4i4BatgmX7/9tQvVH/zZherlBO2dcPSYF9nsH00ofCOQD8Jnkcsw
MdBW8Z+7CeeTqYONUcDKgC3F7xAjRHA+sX8S/tF3ad3f6EODv64m2JzQGpPUR0OMpej3NjQWGt3R
2+KKG76uvEuDu1V7CByzLcxN4KQZkR3CzmDph5z9yYh+yJpnikpM1+61n5v5da+YPY/FZBxdt7Sv
+syYNxyB5UURBsU9Ap3xup+c6pKOXr13EdQzUYzZPWaB5sJRaVCuu8n7ForEOSgHxr2VNi4hYGxD
v+CYMwNoX0S4NGO1coJ8nwlr3Cx56fKmSwi7drKArJAEtAdsNBErUJijY4aWI7EXiBTMmJnSB8Re
dlMUffgg0oAkY3Q68b2ZQvVo97ln1ctxqWJcqw1YKfzLTCRpOCB/cHLBYAVGxTFO5K2aXzEmDbdN
gyvXXKlGOBsGoIN5lqgntoWb1OmjkSKCW9VD5nl0UCAouNhtfKzuMNdfMvYvR2dApbswYNswwFw1
1Xzyu4rkaI1yMocmcC+GCspT+B34RMgK7pXvGCij1kioOSltez9jLznOMfOMjVqcu8XiojiIAbKU
AjHVpXl8qmRoU86kdXf0mcEOd0vqoyhsXAJ11jEP5nhVBPlcGvt/5v0/5v28H//9RLj41vwH7YbF
Z/59GPDKW5IJEqnh/xrq/3skZX6CvkCWB+mbkikUW4KfpwFD/cDHT2cxfWK6ry11PzeVDvP+AAWs
Byzh+3nwd7Qbnn7bf5NuMCUTMFhZw+G45UH+/TTwrCoyrXjpzl7roV9E94bSLhY56C0nAKHsvzKn
GJk2kRZNWkfqGKei9XtC4rxEpJ8TQZjcdRyqvj6yrIdblfbpaG7R4fXeTYVLabwpx+pc2VnyQPoT
Qy4GSR5iqqVllRanX+zcZbVQAuWuzJAtQoSVgQSDUi8ehLOQvfx9hlrDLOuPTmgUyOqszsvbz0WM
Yq0Cqr4IgqTsXrZJCxptSqxTUYyLuo8WVm4Y7MIUpxG++31gR0g7eM9JEerkplFjujeyud6OdWiB
QZbWdpzqZW9msnkCRNNbhyyY5bK1236ONrMIlmmb9zQN7HJDA+EBBSDJe9Uir/q5jdWmEkreJ1I2
CEI9TgdJob+3qjjr7jM7RzxKOEp+zQkRi33t8d9natCXZXQCmnmEdRRGU6y8IzGbtrn95xX9/oqK
/6mvuslf3781f72x9ad+vqRC+2EFyiWJr/3Hvfzvl9T6BLcF4D97d/cHVuvnS4qKypK2RrQEroOO
itv850vKJs+yXJTweOY5juF0/Y0rmwXfn99SCB+W5QsOBQwlji42fh0dkxAwOB1n93U3DRn9Uvas
BjAdWkOJF+q6sOr0HbRdyYDHfrA7ggkH2wjvfW/8IIFzJ6TrrBatz4yQFZlasVl4TNGSJnxrtJpz
yr1mNfTlHddttDcDFe7HIbzytQo0rrw3Jqb3clieY60TFVoxKir6ERUXB7b4J1urSgutL7URmoJa
uufvtWEIjAJ17GlwtCo19ft0zcV5hT7n0dHKVcavX9OWdRKSVtOZrmMQGOz1yWxF9CooBHYOInSc
RoPuq9TW1xpZlGYwv3I8cJHWetZru+4BKWpV7UhelqV1tgQJtMRNor3t58re2lm4l1qXq7RCN6yc
B6bBqGSDTW/b275qzVWt1bxJQcaRRa5fp5W+EF+f3OBrocJNI1Bxogb2hu6lN8norVJWcSBRBmZD
Yc7Ip49X7jR/G0w09Ja382zsBoEZP0UW1T3T7XXu40JwGqjMqJFT4V0jujrrhIlINU8K1XLfzxeA
nDmPlo1mp5AreOzD7FZouXPkyjufbyhMvAiOWLMb8/zcoJCWKKWzaYGDiuKFsgcZdYCeukBXnaKv
Flpo3Q2ls6t6q4XX4F1YeLiA4IIxWcynBHvnakSxvaDcrlBw0xJeRFrS3aLtRsb/ZULrXdn95YT2
uwvkzkQL3qMJzwm1WLlaJt5UkbdatHRckIPkMYE0taic6+OKX9PlyDACFuUmdD6sComcVqLrkhIe
dMsBn9wrxOoMrxR4HIy3KeviplRfbJR0tla4l/P06vSEzPGQE0GscxJQ2F5aQ/415IkMGhs3LQRu
sqFPRDIgpem+ElaK1Dm2H1xE9hHIxRXpGzeWCcbNyoZpA/AfsbAxpxtD6/RnEi2otrKntONLWkqD
oVPcsiwuxB1ui21QFeSpauk/o15G0tEYnUWPLaL9nNdHqND254KpktIGgjiC5Lh0ziOI3phQiiY4
hhmCFWa4094Z2PiYPaPBvrbS7awtCgleBTcdu+BytGqSmMI4TOdtR8e9PA4EluowenIpcQmGmXOP
95fe1Ijsp4S5OosSbCCBi1EWi+2EhXcTjAPZQzSyxDDsmUO3G5Kb/E03NvkpQbG4LQYULqTdflaD
m27BP1SrPOaRLsdOruKJXGWSvdcQfjeRH0z3fsXgT8Xx9RQvXwW70qSO/E2S1Dtz7Dd9VuCNJwZ7
W0o/3mR+hMzcO0+OwwQhWS+m/5y4JaA7Ijc7n/FR1x0Z66wacr/zSd2wgtgRedmtF6O9YHwI8HTo
Tk5cRuc8mx4zh8t0tq09A8lzmzY3U90/BszrG5tNRRSOb5jVn5TCc2p62NhDFDK5TR1eL8tOjsmT
G9Pwq4X0AN+2oDENpBCONt6DOGdeThi5bYn1lKACrTv3c2WwRhC1sW3s7GNm4Fel3lNVJ0yLnTfC
AYk2Lbxr2QUn2aP7d+oY9HQ9EoDSRYYG9Lwh2b7zRXnJL48AwXQZ0Z97jwyoRt4Qu1u7ox9vGV1t
5GI4AKcCKPAZtu6Ol2nm1YOgfm5jgcSSbRfZC3dpzykgrBOLrgtQfpeZy7yMPrJb5dpWFA4F+RgJ
boveQ/LlFIQ/hln3zaCiw21Qp7uOweyqqsxzGQbGlukhgeSlhQEqfDXm4jLOlkdjtgUr9/mdGNT0
foawiMRyPDDMxWcx04d5Uf0OThzZaIPuSxXlI9b1i7iq3pOFYLFImAUDyOZglAJuF6HAYcVvI/dC
ghsAjfshWFM5Hr2CrUooe0ze3A5V9x6I0YH3nPOstQUSkVVuRkZzakxrhqPFzGgLBrjdtWHXBl9E
0Xbe1T8V0Y+mhd3y/2hakjJq/1oQWXzoZ0GEBxA4iEt3ws7lhxTp3wWRSdmDTgiXLiFKgvHCz3pI
UinxDw89ki/1pOKPekiLlOhjPHKfXI8F1N8SnHtUan9qWpBxMg8hlgEOHmvZ38shK7Q7wFeeewaQ
bjePIoCoTLTnXFisyIwepx866eSq9TMbFKac0IWP+a1p2OvAtPOCRenUsWIA5EzAgC9bcOiqWTaz
N9gue+eWFqNtw9MIBxeCfa6W7FYV2XM1FnfULV/Yc3XADOwzaSJsAkuXibc3wUer4zflIUEWDLqR
63DJzCbr567fM2bM1oXIGJPY7X1shS/oaqr4Qpkp8LI8JiP9KYNcvi5I6N0PbkNCOvh3jxWh6ueu
vHKMWR5mrsrESUIMUfkINx+qXVgO1ZuAEB8NqYSyycLGqspdO0GlUAVD29Q4cFqTT9OUb6YNODjH
wQRWsnhMIuNdXFXlfKUcXGG2x9eTLxRWefhg1f5toUwilIZ9utxanXwch/ZZ+kDhyd4O/nkRf8wT
dU/w31/Ey9e2/faf5gd86pc3kYAUXjeoWxggf5O0oF3R/7NPg8Hg8Jf5AaoW9qXIwDDJ8q4CEv7j
VQw+eaYn+Svi5+d9Bb/+N1oT9IV/fhdBCtM5udC6EN1gKfn9XRz6YDJ4x8brmSfb28ZDCLy798j5
jeYkJoA4vOiWLLK3czoM2ZPVW5gaGHsk3bFaIFpPg1yyyxaEwrJNJ9Et2ESrUmF0LG3pvk8olhmY
s8/UMYgNSVBo+w6TtKLgIzALq7uf25Zhf5d4DrcLWQjBJq/UKIFBGrpFr2UkWGg02UhRuihs8yuv
Z+29LQRz/63jWXg6dGQzCrPM2rN9YhHbDJHjPuYW9ldq+YaMEKuCyiqd7lAZw3yY7LlPP0bbn3ZR
ik5vG0Up4z0syFSAxMGfjNDP3xLsIJsALh9BDNU8bI0cVSIxnLQGMcJts6DQ5FVnrOkiFVyWAjaG
ObO3c2swwe4cf8jRgFRZ+h8EwlFSFVGx9Sr+DN4ct/HQkxnsqfEijrAE+zp7KkoIVEDUDfCuMXjh
PdaCAkdEsylQBlN3GaxRtVYckL15IPGCuDYwua+WrwV4i4pOVWPkN44GwEN0DvZ+VX7LvMXd27kd
bTGEOHt0G8nWJDiBdDvSHxy3z28yk70ZVRrqfhbaRV2PW9/AGhv59reYCOMDJxqPxYAgpoicesue
04MIabxVGWZtueQ91HvFBhwqvTeG4b4SYDK9Ih3azdhg9ss7cleUKtoTxvB0I4w4veJnpp8iv/WU
jcM66VPUE3Ab2RiP820QhO5+DFSxbXWZrcaCmPvGASPfh6RDLw0/pm+/5GUmOLjTaNU0KBbYIhOg
DEOQ+nWoVz3EDd1Z1LcgcpBwR2N367GHWS2zVYN3msHXIA3Md4sZTFuA/CNL5gmkv+X1VDY4BsOp
zA5WTsw0Y6ji8E/98qN++Z8cg0vV/r//T5ZE/u0/VTG/kgyYvWJNY3gjuL1Mhz/6WcWgtQ5QYLuO
xwYExsEvs1fnE+o8vSGhGPDh8P4yexXfx7Icq64Age5yuv+Ns/MvixiNMWDiamuerw+z/feTM/U9
UtnKID33xXZxPTzje6d+/uU+ufkxyP2V6y/+xN5lYMXfBRcKeD82UoRj8B38OjqqQ9Ir3cVNz51K
k3yjfBOgf4AvbR3aItumdks28iws4L8kMfQ6kyFfwouBlMY7s4pv8wQvsxsnl6NpksdikelgESO8
yq3EXJsEPoyiOPZDfJXoZITeujSX8badxVVNUMTU2NdMlE9mmgH/0VkSKeKSnaePF3iSM8G/wVfA
qCN8KAYlaQdrF0/VR6ITKjhhcNHBnQTsEPL5SWdZzDSb8jQaS7EPx8nbdEaL4zAQiB36hVsj60q8
NcJ5Cu3A23u5a9M5YOE1II7sEzOL5Tbu6yrf0q0zRYN2y440w+MXBVWYHi2b3PjVYPtnObcziXA9
x9ZEbxuvOruy/adF1BJwm8j3jbFId2+pEdQR4AguXXK93KKbw5UJoOIa3rBxxV+/2rQJW3LNf1JG
ufcJpdvInuhGVNn5pvH85GDnTnbqET37N/z9WvuLO0deeyFmNSiuUftOeY073cSWblSjObgIGumd
YIRFn9kZOs+DFzO1z2esHF3ZO2i8ADismSSOy8HnRpbs59vgUSlab8nMemv0prMR1RSTQZyNrJCj
+TgIF/lG36Nv4zu/RAnUvrbkkU7zAAMPDeUqqJOjAaxry56Dahc2wx3At1Nqzvk2UFZwhxAcXmoa
Jxt/RsinKujmU+aAtifiok6e/cJFMrUUw0bWybJtOsrklsUEM/wpOUmQDVsPmPq+6/6PvTNZjtzI
suivtPUeMszDojcBBGJmMDiTGxjJZGJyzDO+vg9SLVUmlcoy9bo2VTKlkmBEeLj7e+/ec4Xi5oiw
KIZ7FTpu1WxMrd8Oeg6abFSbS0gWIidMdiLdl5yhJvczcs30wgCL39FsMsW2iGEdhJp83TjDbatY
/T3AKvsrlDwQ7qlnDqP5tYg7z8iIEg8q5U6WOj80W2AJRbp2UFak5JIlRHetGrP80jTtRx7XH1My
PXCp9mqt3ztj5rOBYLyaN/oIrd7uPc1pt4xtjjPTw7Du32SjI+lU8sWgcP4wbeymdzyLnFvvgdwp
3mAKjVMcS3dq9M+GGb+J2dTXSGyafdsPtPuG+ahm6k4L1ZNZdt7Qpc8lH1/TakQf2tY66E0fq/6W
zuTzGDTrMIOlUcnVikxyZJFNLu+w5CaeMhEaY1nXvMYbA8O7N8ZzSKRp0Lh6L8enSDdTDArqpRVA
/IeqPYTqyGJulY2oRgLTA85GO5sODl8iuSAb2qlByttHu9SO+lg8EvTtpoZ126nhJa/KI4NOt1ed
Y9b1l8ghUFUt18SBxdyWxhXiXHrCgPfdri6+hUZdpVL6UqTKS5lm+7hJD4Ww9zRALgS7eUIF0SfE
ydARDolqOsyWxV2MS4IdTe9Vam078vGcmvDOiICuaR7Qy87TrprzfN/axZdsCohgiHLhTSFdbWPU
UtpK5SZo4K7Nk1T5v955yRf6dDNm52Ww9w3AiWOO//9x540mhf6lKeKrokpVWi/OtLb6KfXgcItj
m2mDZ/UBFBUy6LJy/lDKqrlUVSrf2bONjnscb7o6Ocpj4KWO9SiP7aaKzK95moReWYL/AyMC9WUJ
BZhZ06QDuUVgNO7AhZTeFH4ay263fVG81dbcuXHSPKj4EtdgyKA+yDABRe4OFUDMnVKmhLgG+YY5
/Eal3S5oqDaZ9WUS2S00yj2N6MPciH3VYXoti6NNzNCmHSYSDqd4q46R4YKGds1AKvxITzYh55LX
yM2NPnXokCJzL0cO32vmb5Ap0Ywl9XifxL2+csyuYi2oZz0GrV2ZzLrHOD31JWpzht3pYGwMsHle
TKc1yGlMdzYYAhRePsaLtRGWRxGSLWLl6jkWw0F0GWlEKgiRsgCbMzVkVtTnNBE3SDJIas174Zm5
FJPrwWWvrq9RUvZehgyI+19yr086RsAxfoWOhDaNxTSyQG1ygtO0+pJW8kYpUevryjPSJC/TgGY4
+nZgH9Ka4kvhWEe5knushNKXQDHnVUlehNkxK6AFDFW7XPay9hhb5pMqC0jU9LlsEmbJlVAIup9S
XFXhWZsZ6GObh1dTIupUs6R7KNBLHqjj65PgJrv79VJdjAffz4BZqCYEQdtSbdyvuvPpipBgYsdF
lcVXQRd7WrKv1W716yf82LD5Fi9EmYgR1iAEAT/Fp4aNZmJ5tZ2Qrq5JzJ95jruYtKSbekhYCcKN
zcp3kvWvn0kB+sPr+utTl9f9HbysK9O21DVJOslTfotbl0xv/oFT8YnqjkQrmjKoW41HJBM7hl/Y
I0b86SIfaPQim3Pzen4qJOsYt7rsItTzhTMob3akW14mJ/emnQ3oLBnbCP3ZDNJxrwjN7FhNebHu
Zitf26WEwqMET4jgc9p1o6W9FTmAcbTY2jqO43fBWl1XMtwNduDJa0lmcimpbztdzOQhp/fkeqi7
LIRxi2OD7Nwth9JdU9e+2QyA4Y1kq8mRRB43NxQx5DlCyk52q8wkandYNDXxeKNGOR7aGICVFpo4
PgBSNv3XqkHG3ZQxVHkQ6oN+N86wMuV0b7QFudKLoz4OCEtMWowmZmfs0jk5YEbw8ilQPU3IkC+D
lF1WfuxllPZxkp3saNzk9bDug5kVLK/TNszwfpVekWT2qkSL4tUiOJUkB+DP3yqFObtkkN0yyecC
V0p3XYsnRdNIhKSzvJFKUE1KV7yaYXWq5exSITDAsNWuGmWPikmifNa2FhnMXqko9/kUbcdgHL2+
7q5KkzMyKUE11PqHXcmdG8Chqgx9E5b60Rr+j1/9t9jyb5Tjf32L/rraqCi+X22DzhVDRet/So75
NX4bvzpUD6QY7MhuONocPe67OqzIcj7lL8Ph12t9ycz77iv8x8PpOdKuVZGLLF/A75Y6CgM7T1F/
nkrPWOVH1S39DpzDQXq0fKDe92fJPT72a5j1/Sv/I66mo7zax35wpSEI/Te/zY8H3++/jMbo28CA
vwjNPmlKJnkgClxJoqtIvgbgsYrlx7r/vfT927f7xz3rr8/4NBGf66yTokhEHK4fYU0OxOXX7+hP
X4MFGJ0gQg0q5adPE6vWTFZ5xeEtXVcgqWqDO+fvO9R/MIQLku/vu56n1y9EQ/9k/sDf+q7ryQJC
RKmoBpkDS9fxj8odrQZsBWp3KjbkFSZ/9McAgpwzamkYNBw1DAi+73qav2G+QEzFX9B+z4j8B5U7
aoQfvm8LgxD3NiRykhBwOBEx+eP3TWJE1aitEp7RO1LO4n5pG1AAYqqvyB55LFMJiXHreHM87S3M
qps8Czm6u8VfwFy9r9zBMdgZB4gOljiMYB1WM367HFe1p2AYWvbrVYsXjxu3eIChBz0ldpy1Hpfv
SodHqbW7q7bDLqL0z6bIvipJujaAjoHUi15MR3gSxcMDR7lMNnN6CLMhcK1gMRu0SuF3HSs7hoAW
KupzJwicqWI6o1hP6LdJpu6PbfC1H5oP5Fkm/ljZXNtFAvShZmCfRpcxzF9neXiQFl6PY4a9WxhU
dKlk7A1TIoHEjHgHHICHjVW82UbyHln1VcZYCUUIL7EjCmzdlMo1UgQvEWTPlPMBOxbThpr0mCZW
r40kuZZzjYlzLIhzs3EECG4XGxRU/apvhvegSbBVK128SiObFlxkMEmRkzvUI9dMUbBMytAtGk1Y
xyFzbpss4OqtXJp8qP1E6JknOfMhEs4+asdDWUSyaw0RYPm234UKEcNhYZUrJh7FqugMyZfixvYc
QHD3TVrkW6cwOihhVuKGkMv36OsSH9rXF9rD0z7sIxJbcjlksJnYGw3XI04l7WhWyq7S7ZLBaBBc
Jgn1agRH3J9CTlNHMMwNpdh0c1Bzl8KUNsXCmY4tLrHVy4TMbNOEjLdFGVGchlZMHaD7kGjQ3gV0
pc088NuwAq5t5RY4vey9daLMVSzqNhzl2VrkHI5jFrwIa9iZYV2egGdPHj908rDC4+bJR0+e+3Uc
KO26z81mr6rVDYVfhG8N4UQyGizIjsmb3OjatlanzA27+b2rZW1VNoQjdZIumGnnDlnAhbWNE7X3
5sk+WZnuePZofsClBkrtKFcIDnJXa1nK1HSjF/ax8MuQvpQimbd5pL30Vgo5jhpq1diW2LbNCMI7
HEgfCppdQNVn6YuWJGOIl4a57cldzzJ2rOtAzjGI6ELfSpnx7CTqG9XOxpLGdq2OzUnKJHh/ko0e
ZyBgLaregCYSqTJYFWDExjEv8oSCY7/EERtc0A0q1rFGzKsNH4S5P44h33k1tQuaJx2JpNboT2iu
rvEVPpM413iBHTNSaFBJYU5/GKm3qYzIrBkRotgDA/WiIP4nTQvYQd2wGQTjxrgA/1LH2KZI5TvU
Fc3nykZQNRn53VwE59ossTA6jdcV+de4rW5Vjcxr1T70NjyTFgUPZmGVwjmSopOc5ASMEMG40gXt
oKzWb+QC667Cz/Ur7Ka2RteHYnAHUF5d03t7Hpxw2wz6gQHBV7O1fOICl60Jr0eQTftCml7V5ZJX
Ka2xqnCFojTrzX2MzMAewzHoSLFr28eckMTCH6NSn6Hw18WtRm7LA6XsQGdCLTGXyE1fb7XYNl7C
tDD2bVOK8BryY2jv2krSX4LQVINTQtzQJnNSIric4FGhM7E2RqxjQFDEOmC9bHXsTBA4Z+EOrLu1
gWphxSp87vRuO4O+WdEm3EbmHGBVRpYzxCHmrCK42PN8HvMOxUk2zwhpsmthhlyzQQrh8iFpsk6F
uu7C5GtYW5falIstqb3+hLZ1S8SDcK3SuqHHQz+hf6iMAqfW0tQL0Is6iMAqeb528B536WS4yC5e
lZF9HIMtKIzsRhkU4bZt0GwrIcWsteA8pbLqTi1RFhLwY2LtByXd5QWFYqPlryj8iBlWOzQfZnyM
0+RNtQd2g/FttFQ/r1CJz7axCXSd76FgwGNJ6R2Jmjl9wyzdLu7wfN5QbW2k3j6HioEPcUq+mloE
vLmloEb5gbd1rXBhWyk2PAPRV9jTsgEgKJr4KGD3q7Ms9HOtRCg1wR5N1Bg1LYrbScdr3cuKmw3M
PVSzuokTAtpEbR2DsrouGjl2q4EJOvq3uypSr/RIISQzlHyjrolfsPKH1CyuC7LEJXMxeMnmY2L3
7wnKls0wisNQjsWKmuwQEANhVPaiKTpPRpG5amvuywBXfJeUfuzIJLbbL3Tz440m46AzpUJZdRmZ
wlqsuYjU8AgID/XzreWk2kpR9Q/CFVHRzWy2mt0ekozhYGalJv/hiP2o3uutHbpdHKWruLZ2pJKw
P5NOnvYzrdz4FgDda9VZO5WpUArerC+kh3TRA8oILOuuaNluej9Two/EcbYGaN1C4k+D0v6Kq/ZL
2SiHTI02365R/7lPLrXWr+6ToCF+cp3kL/1xnYQLgVyFURDVCCngy8/78zqp/faNdmMaANUXqcu/
rpP2b0SRA8PBx+MscxougX/oe63fFnU+0l+NjobOcOWfDIIIffx8nUQyw5Qfy9DyW/ADf7xO2sya
TFOS57OWRQ+Vxn1H0KoAg1zRP5gz367MjcIiMiaJJoXzQH5AiJCQkArse3eJDf21aHdZkqzJQgga
z7Iyki5iuqv3Ygk4LVT5Ekp5vWvZCB3ov4n0poqCbTJXtD46WAjJRsJHZLjEwkq2TcuZl3VJd5Fz
QgKLzrwd0qVW76czPG0mobnmlRG2u2os7qZJeiD84B4Xb7eSVfZkueZ+IU2gd+09zFhvipr3egaG
kObDKkzkmzJRr9kWHtS+QWHc8s0K2qXrR7xhF+Rfpxp2TQSLO9Ct0FNruiWGOp7bWnnFjQtKuddI
pyqiL9WQzV4r08J2Rnsdyu3gcpNT/BSSEiAZSZ92A8ZaNxrCg9JZZw1EdadEh7mzXHwPlttnET1y
tT/UffkYyc6zpFvk6QiNZNhm3RoEVMRwYupkvm/rwe87pbxSgsURWnxVcUL3dXzjdMuNFEozDtCd
kk0PadMdpKL/KtdcSWVpslxV0zqCjVH1SVLaEmecbquG5HItMl1pKlQvUOlQGJTxZxWtAJPlinZU
C/QaLrfbLkzJAqbEKkMfsLbTdCb5HTAuno73aAr3uaZMmzZIsNyPTE5slR1L23ZdfQ4EODKN3hJQ
iboq0TCYXbZpDVJoVobIdlpbu01jnNoRrptWqKob5b2vE5Sb4r5NxSjhiOLil4+voVmkK36mSz4i
zXhk2ANeSvwc0qtck/tU9y17a0pzuXE+QNPZJ8au/dqWm85Xu8gEZ66h/cvr26hhtKO2WXFQ1JDp
kgWefK67LT5pEmtNoXMMWZ7NbX1DrxaDOev/qmMQaUn6TqqaBwa0W7lTH4Ye938YNbLXNqpCL0NN
johHuN5BLFpHBgEFQZ8QGjii6ib7KMBCpchX5aipF/KIuJ+m/cbRS/pf4T5LmwC6p/pKW8PwYOLF
ZwvLOwB53Z/sDLd0MzBEiQUyzvxtagpf7eOngojM2CGBJYQ6jvx0EmcQNat4zH7f3f+24/GpI2HA
cmW3wfODU2gxB30qOUsN6b+QHOUsMoSxX2AG/NtG8E8e4SwJfwh52AkZXvy4DU1lODb4z/Rz2rx1
6fVU3uXO8T9n1DfJgsqb+YszivD3D4aDfz2mlr/35zEl/8bZgAvUQSiEfpKm15/HlAKMiKYGAQrf
LCqcRX90PczfAAqxJoD/aovZ9I8z6pvm0qGHpVsYPBal5j9oeVjGX84o7jcLUNPWWB8Kx+mPiyMr
YaBNTBKuMm3ufcxaOq5769lCElhY3SNXsvt0vkDc33ApWqsICLs2vA8WReG0aAthdngVYkPzCHr9
XRvS+2xRIiqLJnFCnIg2vF3xPdzBRt/KIUyasit8Q6lJ9F20jey2L9KidlQW3aO2KCCTRQs5I4oc
Yoi+QVjvicGFrq5Fj5lRHPPJeZ4lpNKlDYQirl6nJL04kfZam8rT2E+qa7bjQjkp3AkUrFdWyaHr
OFmNrOgfSTF/iblxHvISfbsyGKYnl8k9WUIv8mTNOz0LdwHSJt+0obpX6gs5uVcOPvfJtG6depMi
C6scWumo+++7KH62Y2k7yMVjU0vh3lJLzwGXkeU9zDhmeGK6Gqf4Su9mt5rqpdsTfSnKlvi4nFLQ
HK6cmLwEgDU7HRY5gs5oKhjx3y6dccsv2/S5UqFY8itumob0r1bBCKCLZtUaiI8Ig7XvAz1YFUbT
bHsTBy4J9JskkI5mVgzbogVIEMTdeiiSm7IxjxQ+s6/TxVn4u9uKCMNaAqXSqmj0o1re1OZMDlDf
XU+2A0eZvo6MtX0T5dpHG8f6XuQ8T1CwG+FiSanf5HmKGQmaxwj+QdEkr6MZOEsv4ch470wM0lVW
6p6ZoN+icj0OYcQUE8S5gcar1UdEFzLFeB4RrRXOBWihAZyFSJnXCQsuahy3OH4tzBFT7BhI5ajD
WusV6/uOlkrrdw2kH47ilapOl8EyG9dSGFhW2vukJpULO/8mVzIQO3xyhCncG5Q0VQbNDi2lfawk
ZSfs4gQ144Wb0kPUgHuobI6DYQq82TTpEWF8dKeaCidN2l0/tSSJoTDp4nqp0SwHO3J2CeiauDhQ
tggXC78O6V/MkzmQjrXT1JjoRMv+yueBFaI863Xkp6a8MRQhu1lEfkGPBmMS2m0y5y/Ibw6tMpyK
mVJxbvM9/YajDMdBzRAXCLnc2b39loD3c6KQnpmKS4nJEdya27KT7uPCJIe52HcMRyDG7lI5PEty
/pI34t5MMdqIeTjqWn3QuuLU9VxZynS8iKzfjEF81Bd21oxFwCl2Sq37EJK3VRjtQ11GaTlph5JR
7NDI1zI52X43114Qtk8DHBTkcbMf1+BLO0wx02zta0e9MeLyQAryVk/JLGDm3O3AQZ51uT6FpXXO
y/69iSdU3aF62xTNY5hXB1C5py7SvSicbnJZoE7gS58KLCZD/Bim1sYIi21mxvaODsrGhJzG6mhP
Wu7ELlzOi56EO3zyl0zqA6xelRt19a535Cd5ZDRky0J4jtrdgAA/dqhBV8gNMKzN2VPXMnHqSMeY
Wg/fKTGpdn7ShPky285mkMgucAbQWv1zzoWmMeSvcxPioodANDfBUwyNnZJ7BgZ3Q+rihC9sEKpv
FwZ736jBfdIBG9amODhhd9SddId6nNQQxTkQaXnWe3EIwmlYESN9GgJaerGTL/w15ku1uCJBcFMV
zlWNSMC1h9HPKllZkxb9ECtYuFAKaanE9TW5nZePULONtxLya9GENBmGgxJKj6PcnzVFuZJTqn9z
yY+bhldV4u4fl2HM96T0qpbPolYMP+/CGE5J9lJq2mlysnbVxvU2LQj9JsDFa0zlwQLBWDUkd0e0
+RrpAvpHcVX9jhxD5p/zWyKs29low2NuVOVODoObMstP0lKIBJVY67PxopTmBsYmdrvB2CYt2pih
HtVtirNHVcOPdKLnbeULdcuajgrWA1/BaObLMVHclVFzh41KVx1tYMWhvMVo8tQM8W2Vz8epC++C
utlC6goXQtVDTt4Or/kunMRjW0X9btSv0zSFpAZ/KjERhWbjxtCL89CGd7E8N55t9luJUW07A2Nr
TMjCCnw1h7dGOUvwTKCNTBd4AreI++21rOAXsOGXgxcgD0IzT43gvF+LhgyXdTdU8YMBKYTN37QO
ao5ZLIN05EeViaR2tlax3fPtnI9VDBLarHlJ01Ru63HaWGHuXCOvwtiJ3W89S0SdqD28FoxEI87O
7I2wIOw0eeJzwhhQnDQFs7IgbyV0jaLdkuMD6FVwgy96p98nYPdXFRCyvG52EIjEKiU6xtWSWlmZ
MaWWIcRjX4SqJ09m7VmMH30laixplSUmM9osxM7WluechuFTolgAsoy5lvzOHoxLM+QzCM251FaD
0Blx9LSf8KTNwpsV6Tho9R7pxbVqp74+JmuiJh6yKrgJK7I4K5VyAfeiKuxunSvVUwB4y7XCYV0r
xPX16bjp9ACpb9u+9Qmq4tR+1gPt1A8Th0zsoUXy2wDbndbclQgwPNuKXtlZH/BGbIMhOsvG+BEk
2oH2oIFED6VzrBEDKeEkmY2DFWcnFJWaa1oZc4vUl8psj3YAXddE1p9ZB+dENjyRFjdtgxPQyuYd
IZFHY4y3So3qKy13mcMYuJBTnOhUo2aiXZwhu20p5vtiQlWS53c5o3w3k9KDHA87WZZOGHVcrkIb
dax2beDgEgVya1UHZg+Ppq4dBJ4uUhLoUdnI1sr3IEFNn4aXMeCmMBnleg6iNWgT16jajyxyjlIO
e5VFNyJLhAb3zvAMnRusV3xeN7WKc12NXWAgoMczGqmjfNukQLPaHJ4iGky63uEa3Qg8m9ADgbWw
4Bq/TZRt1qlPva2DeFNG35AIO7SkiatFtUKqV7G7p09C61x6kSGMDHXtpAyqu1CgjkkeEG1v4CNd
A7eJ6Kspd9Og+FpSPhaKKXtahiZGIiI+qIsevNvQrdtIuxoM+SoItZdRbs01Xr61HlibxIl3Tiw7
PhwoEhbmj3IyrtqSVHb29/ZoqiyWsBgMBksWUTNTqazJVrfPhVLsc53IE2FD8G7li9DJ4SJbajFd
+g1gulVgRMqqbuRsG03mszEk063DTkPOw3gcR7vzpKF4HKEa4Cd8VlUQsmVcPcnoFVC8d37a9MLN
G161HShbZ9l6cASu+oIAnLAmAsko01OJizkNpfksqfUBIDOYKrMZvarOvvbKiNR+qnIPO/HXCUuR
0le3YTyWG/Twu8FSmRq0HQLE5dQ29KdR4YuWwIjy6tEBhDzpV0oaX6UDTvJEjwgmnptjGdRL0ao9
qvTi9wOObKcRz6Qi6Nvl6476kj5uzmme1r32bEfE1JT6RRnG+OjAp7KVcheW8p1Km30uDGJxhm4T
yjA1s/RYhTLpNnqNjTn72tmFYC9X16Fm36VtsY8ZXqS9yT1zQEKvtk9I62+csVraX9ZVooRXmZVg
K9WnA2X8QyWcZ33UbpB2FwdDg/HX0Zjw1VZ/Jv1z5yDnW+ib+Sbv+cFSpfgFBCmvzPV+mwiB5CUv
OR1Bz8naLfRDlTKiriWdbJ9JVxM31UxprSpxQGzRdxXfT7TYn6prwrHhAJioMzjjHbw5nwooNZbl
EcxUfE6gNef5qZlHqDu3v37I0gX4QYXy7SGIfukTkOhuLVXcd0KQNEByTW5pfJYn8P4nGTeJpN+1
w92vH/MX+cXyGAtxvS4joWcA/uNjAhg9VAEyF3f161DcS9rvgKm/bXb85OdbKkwFlVYEb9fn96qB
ulEUZibO+cBC29oBeoI/q++ffBY/+/kQ03mHeKPQqXySqIQW8mbNqLIzJvnMuDb+r83xt7//X/Q4
n96fT581SlolkthKz8xIQJKmil9bno6c8EMk3q9fyk8etQj46FLrBrAp59NHIWxABdBO0rOcbGnO
tQSSMdbXXY5h5py/ftbya39aXT98LMsS/251yUqc9ZYpxLnEK9hwo3P5arGnTr3/6wf97EV9//l/
elG5lThFZ//+II1JGeqwyOccWY7i8t+stZ98Ly2Hth/yRGQj6sIF+f5FaQZhiBy8+bnR/EC89vBy
g/dfv5yfLbfvHvF5uc3Qiws0sfk5t1+T4FmX/h/LeZkbEF/CDAOD/o8vIamgvelk4ZxJNXQ0Zv/T
/2PzolsrmzCy+dogMvvxCbmUc783leI8W6+DddUxYJbbf7N3/exDZxEDNlrwacoi3/n+g0CrgBnV
nrNzzcVvchnQK8aF5KWi9Jgd/PoT+cmzbJmXoSoLlon+04/PIuoH12Ri5CRtcCdZo/aMkGdX4L02
6s23R/1nLLcIbv/cdL3X9vW/PnKwp9PVa/bxP/99eq3jsmhYyb//292X//nv302xy9/7o+WJ0VyT
LXUB37F6CZ/4ruWJ0dwxKEKXid03jN4fHU/rN5zflHKosKBRLzasP5ueFsZXjSkeVie+Dos67B80
PaE9sAz+teF903kx5QPHp2vYxWiK/7hMklpKVWtWo3Mmz3pwilSCqUZFjuydUed5eF0gDtjPXWW+
mJE+oEOU8ipdDaM0PNez1Tw4kV7cOk5szC5JXUPha7nVPjZapyCZQHe1NqOE5O5YehhV5i2QoLk5
q2pKwWpe20QVdKQUdj0xyGJ6HcL5lRxJnXvajdnY2ZqAg40qspiZkcUUKzXXYx8QUV7vEdRS7zYU
d3hQGri402ta1SiAh5qgTDVsUNDCep9wGpAdaPsip0yUcsuGw+3s9LAGBzQE2zIzb/TeuMko271U
wxAQjFezXXPn7xnF5dVtqakvkZ1QNgZUA3meECapzpA1YidzsS/RY9ONm8S0jr3dPKkZ2UBmLo6A
bg9dlKKQCVTb0xuLKJAaaHA2lLZbzulNX5X3lT6XJ63uC5gs6BNAlo6IESDnElBGwpignGk1PEwj
FORjjtNztsonzax6t1Hk0uvk+mNu6mmdOqMAp95tRZNsZCfbKghLSotb5SQ5rq5DNUE36DO1h1ZK
C45fSoEl3NvGNs75J70fu1XuFA95lH5BQXCx9cizS/GupNGdWVDbtm2iHwMj2MWldIlLNHG9YUVu
ADwI0qx5DJcGeCH0m8g077i2Iy4zrC9mkR9m3F3lZNO/km3EGrlF7GxfJKsiHA95rHCcD/1KL/KN
iKHeqkt7mM7uqqvyh8RsMDPQ7/IRmazNkiu5YUJyHxh8RrLt65XVX3WLfs2aGhvmoL5rUzN7oE0w
enXaXWZwiitDi0D0d0xyJRkp3tTd11PyFvQ0W8yo7lbcAH2rth+hWj5ZQeiqzGBFFnKVWX4Nub+R
JkI4gvksAP+i2wOIDDh3Kq70vjsKJ72mwfkSm0im8nTmGjRSCdLXaqGmTQfyBFApG8mxUAvmfbRK
I8l+lCzEg60xxK6SjIEr1bFPsXJllNlZcwBIOuZ133A6tH2N18LSfUmrXoiR8yJDBTUvwpVZWPuy
N8/T0jPPTaaxDk6bvmJeHjR3dmK9mdJ4qs3uQw2yO8AiO8ViLtGnyk6OLDgKwmloi/A5YNr9IpSB
r9iMY9keRUcpYZ558bTYh+gJcBQpK3J2VgPlGnW5XznpG1kLrg1qGfJzCrdWy65bIttRozBpz9r8
MTJRFDMpVFf0XMVBEl3pGktnO2D841pZ9ooFOl23k7goNA2FVHDzwSmAZQGOvj0fRd6eOiVFgKY/
D2b2ygB9Pxs8dFAvCV0OETi7iOFBI+SNrsEyL2lVxIE4dcgZVrlOt2ZKKSDVJRJHoZo3or1DZ/MQ
K3V+acY0aPYjhSYbRN6vMlWbCZGpMLYl9mOX5YLSOQPgRYpy41dCbjeo9OjL5wVDlFFXr8dJ3yOf
Vq4ivlgun7lBOj3DWKMHL4i8bHycqzy8ISRQHBI9MTYtb8F6EJLYKrQLANagGliFoAflVW+20baV
NMzyGBkEVnpZ8aUkSH+/EfznmFa5R/3imP7IvxTvcf6T2KrlL/5xTqOggRMJCVVleo1PiD/6czQJ
upZjGMQluXo6xug/R5O6vGD1ZDQtTMyZZ/4YCs/xrcmyxbXyH00mDfPTXY7JuKGpZM8jokEs7nx2
F1miDW1oDtJZkYQL0xzprT5/0MwLV/CSzFWnycwRE7+ewkxs6GnUN06dSRfV6iWNdmKRWzchok57
5SiT5sEHrx/RcFrTO1kFAP1Byi1jI33D2A2KvGrPZBMMC0/e0TcEo8JsrAd7A1NmXPel5Pi1oj7R
ZZDfw0pkbqWOpV9ElsC6yYizD5eto+C/1WBswsFW65cSO+uKzouNHLU39kNu7ZOkpj0Ke4LwVJoW
nbTp1O4tG0ny6Im1W6HBgPSw6Cuk6TSFhYN+zVizQfRXdi6TxFwn4dqRbW1TTxMgGnQ8aBuxzhQ0
mzSwTmvGKTPMrJrmIF5E2F7NddIA0Sb8Vzxz+E23ivIY6028aqT0Cu5X5CFiuiRMm1ag8E+TzNXF
ZmskaZgBzcAglNmp3op2ZffGsLbskcY44Xz73JKAxWnxuENVKq8boyIQoObCwIYqF7xnDLb4WKQz
hHHSiUMHJ3ihQYnX95UOiC3ti/Eys20TtqGnl7GXSWmIoq2TcsEJ2GiIVp3n2OcIyAM6jqSbr5Jk
KAjKgWw8qxZiqHHUbQ8hMQ28hMASGBx5GdwaPHbTf4sAZWHnu7zuezaz/2XvTLbiRrqufUXxLnWh
ZppKZUOSZAIGAxMtDFh93+vq/0fU5yqbctmr/nFNPGGBnCkp4sQ5ez+7iC58U9jHyBgw77WOf0xM
fjk/qlXnX6td+JiGki56bj4HNYbAgRhBD8HYY6K2AYHf5VfKjMxtRXCZ+ozu7JjuMyJkDhnZ13CW
a5xY7WnKOOVklmG5Rm0nrgMPkfamua/7yrrQJPqent5iGE/cpizbGiH/ODUq2FFCrTPeI4Oirhz4
D7TvYUJ1P2jGsWfoecHI3VULoB1nKRvUpTXqXaUh70p3tYbMrjKmCwrIByk+D9oJcoW5qStZHUyD
RVwUBdpz/GF4SbstmXBPiyCnVRAXEVvSXAxjpq/SPlA30vDtq4RupcicV000JPpm10XX3flCPzYl
OLCVJsqrSRA9oi1Y1KCYd0sADoMKmX5SYt/3bPutFeMhSvFcGtblFBaOZ8Xhthonz2QMzWc+2VN+
KTNCkXpxkGp0mYXoM6NO+sfcRnKdmaW+6cLgNpzGYF+F6b6O+11ScZPskFpgIPlXxBahGIn9HHQD
b6AZnca+6JGysRmLts/IVaxc1Uz3Tis9u66fsxpaCIZkt2Aqa0UsLdmGqn5TJpWr9Oh/IJ8xLB9A
ZMZ7i5w6Zxhdxh5YC1usd8OY3kHLPlG03YGLtnlIncLEMeKYF749fy0r9UbO3d5icKBnmYcYQScR
bjxIkbhx3z+Hpr41695rgqAkVdk+N0l+YxfaqwNoDwYmo3ZnujHIkVkTk36cqpmwMsMtucd4RhnW
YbTFHOv2M2NZFKsv8Eo+DcvzqCbxvu7CM4P0U2YjG2YaSgLNzsrQFARcHr78dZaPV1M1uRo26tyn
rc28CeDWlmJxx1zPzUrAjc24EXKxH2vRi2l3BHWUO0GAbkJUzVQWDG8V28sV+Iwtfem4C85am66j
PtiNir3OCnGJXWMzpRFyWk7iyUhrO/sKCcn1a3WNANP12/StTt8Kv7sZW6IqbAUYI73qIX+QCPab
GQ2JwTUQshm+dsIictu05oZjC1rj8cYYnU9pPGskmSOGKAZlmxm16/h0wjNfwIpRNrZDHx2rFyvc
Bj+L24RMcuwRM0YT7lHW7ca5flDUlhLLvgX6/WCHzU3AYK/LXvOpfKsUBZACQxFLjzaRWUKsm9ak
yHshqRSBHl7rxJAWvX5DsflVRZCi1coSlLBiALUTTr+zG7FRwvQ2RrTSSvWOo83K8ok1NJnc+ILI
O6Xb8CpeNY69UfXmQveZHI+VFzCV5/jTrIvKzwlT1F6GrnjgT2HgQVszNUZJ+nVIzmk4uIQzPjd5
gzxQHIhs2c/CgoLBWLun3xICgScnDIIiph1kfqa11dr+c9blT23lU3RZexRIAIAM3y3aepfbcq+M
GUcz6WAb7x+GWvlc1PFNIVT06CPVZsd353hB3u6sVvJ0WnDN+mvAzocSq3cvuts0snb26J9Alu9z
g0Garx7DAptm3kWbLJ3O5KMi7R5W5WBfx7VzqavjY2li4a9RS2oOEpPavG7q5pQ38oZwZmVlq81t
t+TpEGCxqmfObTK9TGXAvLFSGDcGx3pZqObiYUrag1bLbVmGvNkD5/PBbYal6MkRnOd3NYh2VSsO
goCQk/BRRAK0Sm8bAD/urLUXtL9X8zCg0mQKKGJiScy7uM3QhCNoQfLSPhrQMDRUTwzrodGqr2aG
ErGtHpI63CuaemK9ZbxYJ0h7m4OcF69raiVQM9XHUDblxtGTT1ndMrIZk22iq+c4sWNOs0wPikHf
wJTZ+YnpDppABwCdsgflwiSUKPBJW1LHyV3Pz9hPkPmMFyNpOKUA/YH0piWMc+HP8QY0uHV6y+u6
wKtDkbuYZBi8dS7o1mA9OvmuF/Zr38sN6Y/boLc2kTJ6KCxZfxr8CsE4b8YsP0DAPNSt/IQLjL2G
lK684XwWgSoNB3GRawbPOgp8AyWtWuxT0R5nWiRNXb509kIyaBywc+OxN+hgZwrb33cl7U/a/R9a
vO8VIs0d00Ihhzn2oyO1Heq67qJcnBjaRXGyKpIbgbT/1xf50Bz/v4uYSyeZTryufehZ46ZTTNqa
4jTaX2psPd3jWHwN9HXG6OzXV/pZwYvT988rfZguFD5CvNnnSpp9FRoclyworPO+MO/j7ikqTPfX
l/vpt8fbtERaLBTqDx9Mw6Vk+2kRnHvx1HaHKnjJ05dfX+Jnn4hqmWKZy+hQHX/ss6F3GBVnKsMz
MTfxsO2myUtR8mXBNkIJrrVXv77cTz4R/WUOLWhp6ep9zMBYnG3apLTRGVImUgBAX+Dnk998pg9N
/+V5+OEiy8+/G5Y0vmil6XMR5ourtr4khOI3o5/ffYzl599doW9nWiC0ZM84+UxAFQmhYbgCf/1d
LeOPv1qguLc/fIwPt6ZMpqTssyY6j0JfAfpwojOkfxa4R5DZZnPSiHn69RV/9rEYNSjA2kyIER+9
10lkZxHJUtHZqq4rJXDLdG/5X//9NZjBmoap8xwQ/f7jV0cIlzDtvo7PeRN6RMehIHKH9O7XF/nZ
V4dkF4E40lkLSvyPFymG0LKiaIy5P485ykdOivEyR/dv4+5gYPEb/OtfX3F5pj7erO+v+OFmgbQA
gaNO8VlBuA+wE9b9bxYD9ce7szAjpWpBldRoiJu8rx8Wn6YwgBeOanaOL/GT7Nk8j4UrPXkd3kg3
96KN7YrNrz/Vj5f84xH8/lN9uCSe6GyExxefexPmBb1HjbgErdj9+io//+5o9CvsnNKUH+6WOUPy
bwF7nP3KcTVMkiSE/foKy7f/8e7gaOdpQwuAXnuZNnz3vpZAafGNi/hscfSdbI1q8ykyAhwx8W8+
y8++se+vpP94JU7ERU1LMz6r8i20r6V/W82/Wd5+fgl05YvKADXDh0ctgqRuG3OQnPP8JFGzjJG2
0jrzN1vdz14hHrY/r/Lh1qM2Cdsp4CpR8pIK2D7QuRGcJp2btGeRbFP5m3v0t48Fx5TUX1QHbEWM
VD9MfEiCtsrMKtJz22/JsRxMr5pvfv0Y/O1B+3AJemnfPwZ5H/CFhlV6HgisUwXBIuC//38usVAQ
AAA6f9M3xOOYiZST1rlJX8S8Z0jwmwv87VHmMzB9w48iabyB+vjxM7B0WoOKHvZMnZd1oAzi/YJR
z5239w/yX1dW8lT8c1f2nplp9zNIxvJr33qyMCzZHDUG+lAj0IBwD771ZBmrSouGLINLZ0kh47X6
Njw1GJ6qJIkY1Fv/18n95hjRsZ8YVMkWI1n1vcn7L4anP75IjE4dHgtCUEgtQe+kGMub/d1iNyoi
6Os6765I4XErJkkBnTy29t88iOq7FuivVfX9QpJINQN3Cn1o5aN5Uk3bvjJjo7xSOuncJWElTLpq
0BB3oKhkDWNgYSIC9J5vY40WG4W1gdHYCh7LIrYvoMs6BxU4PWX0O2WRiZz+Tl403ymM/TuRsR8X
OuPgV32/idUCpqHRR1ArRXoa4rRBZV2WheaRL4k23BaBD4ij8ckUTCbHk/ZcA7XIX2RqDKR+EAFk
dEqZuoDX0mlT+DR+0r5bibTBdmBFQ6GflF6VyWWfxqe6TUg8KfORFMIzs+83zoaveRVs/Eb5ZPXV
jkiDrRRmsdUUPgXQJM8x/I2TeXLM9v40VWs9yTBf0FBJp+praIc3c4kIUCu/dnp/m6pghQejjh8t
PI8Ai5PuKKyyvqoaaV6kkXMsnYzI5VlrVsg/9a8GbeKd4YeECrRV6ZEogbgzFdLTBvuot84VXQYC
2zRoiKSdaNs2t+4mVTykGFSwMYaIsts20Cwa88g8mfJknmYrkYc2hD/RIuAmf+muNhju0ofJwxvi
EITXWWrtOaMyPhhpNPEtagUcqISUTEPU0zqW801ltjYABOTr3717Pzk+aj+u2O+PGGudwsbN3gDz
5cOKjSEHRCYS8qvGYzYHpOF2voUmuKrcdpfvfHUF69HLtpZXe2RBXxgb3dN2vvu7E+b7qvrXo/5O
PQJIRIOQJCIUEB9ld1BRh46mVHHla8EFENXRTQK6M+VgEHJtJQ72X1/f1DRaIcPbyjGwav9C5R7h
6cjcyZquHF+ZmHbPT+iNnU1DR2rTtuWGfuSTJdFF4wgCzTqPn6u0hPBY0/+zmlhfjwNQSTWMibQL
R2/S8TqoOVHyuJUI8Fu6QDtwGUSea1vszeqqamFdRo6BwTbfkTW7LnQEoIXClG8ILjUf/nXCfJs+
Dae8LG7WvMRXw+jo2yrggN7owV1AA1/Vs2M3Mh4XdrlVwHTiFa0IrlXi21/f4qWO+OGbZXC0FDGs
lyZE4I+lujNrAzEvfn2l9Fm8ZSEgTqRW6IfAMCeFxVgZVfD860tqSxH2q2t+qKDE2Ft1TxohjUf9
UfoEgXdBsZ4ba2dkFNWVTz63yUzcqipXpuSYSiOf0PXCmbCFvKRR9qBE7L99I74SDrPBLX4kf+xa
8ecXGVRPGZ43LHdV+Qff6789eblD/7wnHyE4vvxEzcQv/bkjO/9bovQcxEysFoiX/tqRNXLEpAWH
WjP+GIb+uSMD6+c0AHZRwghlM2cj/b8NmZ+gZjIsGARM6rSFQPAvNmRjWaX+et5YxdgjbQsLp8o2
CfRa+3FHrooKqkUYh2cSs6S9q96R+NI6qbDWecyCd14+wRMD8PyuBGkOh2mh6k8Q9+qN/U7bH8yF
vD/YzQ6+vO4/w2qNFd7pPBUHJsCkZrBIkAxN5LgIzgbveIZOwAhJQFY7beScMEtCfN20cXA4Ytyx
yBjuJxNGDvoDhyEJRgqLWJw6qsKdBT4GL1osxUofeSlxmdVO7OZZA5KwGtL6FEC4oX2jT2RVB6R1
wwJCuK/MbSfeJL7s7fsd/+/RXx6Wf370b59z1H1u+vyzknT51W8vAE+5ptgo85jEq6yoFH3fSlIU
BDjK0QBQkxrOO4PjW0lqLRF7OEzQ81lLXB6L87eS1PwfqlxdQzevvGP4/lVaBQLyj6+AreC1VCDE
Sd422nM/vgKWGqhpWsuCzmnNCt+OmouFc2I6TCyzNgbqfvCTTaoz8cpyrWRIHD5mjnWR9fQ1eJoI
g7myyLrkiTzNwvcUI2MSE1vFJbOM4hRH9f2kGA+2U5J71ExstQKQ1pR8+sMZ1IKETYKE/n1swVDT
MX9AuigVD7cJZglbEp2pjsrVHEY9md9Gvw2ZYANVJq07V1o8jExU5piXVQ3wfWC9nv2CYYMii11n
DiDNACuMZN5hDMO/QHqShJfdQsTslTvAv2uLbLFBa9luCWp3TQXglKzlC37g0C0X/VXlUBGQ01Cs
MEIu8TLxixM5tjf5zFO6jKY5CKw9ejx/n5a4sunMeEUulK3CsPkgpRguea8BtrPvu9SUd1GVwTZK
4TTAiDgVZH3JeCKrbzY2rdl94jU33TSp7kwrODERHaB/4jxFJbbRK7+DmJN361ykpTsYCsMpxAyr
pOqOKCbod04F3LdebMsa7lyu3ZMXcePE+Ob8gSM13OidpVfYYZLotVf1Y5DPV7PGRBQ3ig47qH5I
W+H6XdGtkgi+FkJG5hSa41ICu2IeWzLl0Rk1BfrGsqUKSjVzH7fmdeIzLQPeh2xiDrzKyOzNIIqX
SsOgpCnNlaYPnlHBb1Oyywx9ppp2B12fmW0YzaHqeWb8rjlXkYlUApsT0+Sp8wwy6ps8cJu421aV
frRkmGxaB3pJhUV9l6j5OinFto7FORmL5jgneLskzDAsqOaNZmpHp0wXw2Y/ukaGqoCIemCqxRyt
UqNt8IMpKMMHn3ly82l0ENT3cX4MDP9pqpjBpsJG1qKba9kq90ZVPcU641UVv8JUEZZqR8F1MKiX
6pit52DkcOC81jSdGW80fIeNuQ8qsGezKS/brjlFRVOJ6wK44fw2jeBOULWtnaS8J++jYiLNTDOa
jWNODPxF3DqPRaLc4FR/tYGf1Hh/yjnYBMSnlM1w4bRiUysaPPDwKiqKizFurhgjnvscb2bVhN02
9TuAM778OpuiY8w86AbUK99COpn3861mzsegqkliJcF9E5AugLLG5LokqaT1drDmxmMQuhtm/VzL
x0YQkJJ1zl1OpmIaM9nSqKfRK+wHEt+Ccj53M+V9H9HEk901i92qHnADI9lYiYj2pF/5Zx0/NqMO
yP/wpYouurFUy/Wn4HYmZxHzZkczneQ5qkwweEZm5VsnUKndGYVv9MTcpkEULJiwRXoU2gxqU7kS
HU8OOALCZWFYrTLaL/YoHiwj/1rUymtmIxw2ivR+zoNLCYkFZxmeehSeOM9q8OdWXH6xO+FfOgl5
DSNpAJOinLMCMUdnVeqJwKs30nlHD0fJW9eQF5qZ440+TOVez/sntcg2laE8TJFF9grIZpjIaxRJ
jmsbjbGlev2cj063ToZ8U9rTtvfxf5X12YnSgwIecW6oAmTlX8GKg+htJrsCRMMF4qA7u/PXXLl3
kWF/UhWpbUPJWXSu1NIrx3j0KqEdR16Ds1U4N3JqdmNqEFqY9hkAMxqPi4AqKsCZSatd81kjkvfA
KzhQH8IKKkBLEQPbKPVUm6Gc8xKV1g0E/ZuE74R9AFNygLawTe1zxgEUpDJ3sU8YW/oWUugZLerQ
x9uwqnDhxik5FK14JVkD7Qr5fXKZL8vgKqS/ACo56g+GUHOPGzrtpDbejFDn1azkkFhw5MEwvsPf
ZvPa1sF+hGXgC6IT9UNIXbmIwp+UZo7AYGCYGw0ydJimixDiX0SM6TzVAG/MDpjgkvUZNC+JFkau
aNB5SeqmnjMAjZaap6ZkED5eGkoTuwhkt13OWp+UV0PBPKVUB8gS440yFR4UjmkjcRwXlbMTqhg+
hfPUbYZOe0scCrbGsq6zkKSfOSVD/L966g8czC/be8fip3rL73t7EMYQNdJg1RC5UDn/VUjR2zMl
njiO0aap0Bv/8yShL7HDMMs4Y9CU1d8Db74VUtRYIGBsB/6tg1n230XX6A4nmR/PEjblk4l2kxRA
i0nd8vPvunvNzIihk515BcMCQzpn6xJ1jR1WxlqMQQ8ya/Y70BSCqOt0bbe+VSAYzEA1dhGmYgRS
Snq0u0iBGqAFXIN9D7aVgdylM2JkI2SDIDOcB5myWLcIhz4PHeDO9awEBotiYgmn3DdGTX6p00tz
vO5iC7ICrrtgY8kaLsOYf9YUZFDoUne0oOxV0/TtquqVfsWmmTHzFc3G75RPca4d69wkEwYAiD8p
N6Cf6PGoS3aoX4KGzQ555V9idr2fAKavyNyi51Jm267cI4VHHROU2ioy48hNrBbW6oilOLJRQnQ+
FR5Qq8+Z5ZxVhRZfGugs402yKsfFQuVY5XrIaEKiztCWQi3q+ocWlR4FXnrIIrzksN7ODQvlZjBx
yZqdA8m8r1p81fO4TlrUMMqUz95EHbeyFc0jcIRuWKeCGLb7V2GMB1iTUM/QW7qZr76OY1m4nWw2
RPHsIoneKVPTy9jWSjeq6/tOwnSNq+Gy6SiC+qgHXFHotwIbQGV12sZPfJzpWQat1C/3zALxLxvF
VawVN6R+uUxPDhG0iHCM81W/WLisiqDb9ItBGO2qDvt1q6NgTRNCDw3gMmVwYdD/q0sb9iKezKUm
j/F2FMnGniyou3p7zATGAfKbCcMgHEYNgs8dRhOm3Q68xwl7oDCDM8dDAhOc1lWr9qLv+hgWZ/05
KBBPzok8TJN62wajZ44pidIjwe55fBPk/WUk9XViRd3KNOcItuiUrkpAYbs68UNXGZ0ztbXl2ZX+
VqRqs1OxPAHKK66kmrfbUMfWoCd3nIeoPSucatVJhCWiKyfRgK9yVrXTGNpwdj9Y9nqJPeoU/VEp
u4JSXG77Ib0dE7mHmwrQYVHm0ZyV7tTEUHMVLTyUJU1b3ZmJlRuGzzn9hXWstZ9Hf7hXjeaT0UBt
I8Zum4fOKW6kK2KEobL9MlrowSAdD5S6CciORF0XNmwave1uYQOggIlVTO5TsA8agzqjrW46c35E
V/hUSXw1YzTFKyeOKi/uQQ8YSnfXR6ju1IT0osIML4QoLhTLec5xA5HcXGmuVqi3TPOhuxifiNTe
Cr04D/ALGAzqt4uHeG2HCoy5UVwFoXGMrFK4ehJtxihFZUz9k6vTcxbM4y6Zgl3X1wbMfNtxc4FT
Qc/SgkZl/hjn2HumJVEpHWf74CgTUGYVaZIy15eUFJsMA/zG12DIke9lrkwBjaWZTqpqoCKkECrq
6grvD/nMfngBWDD1THV8SyLnBpqUtTL10keGNQIdnqevA83AVd+TF0PauOEyN8ad1CyBOBYhEX7a
3ZL7wKNDxtcqUQUUoDKaUDAWkjos3CXB+GyGbe61Zp57o+ngv6iOqjDeErSe64IaBk02oF0JcRfe
/NcaAi81wm6ai8f8Hc0bVntrgfWWUHuVGnwvBR8M7w5f1qgZ+4BMwNW84H5VLT6q8H8nOMAgUQ5k
jiGZ8w9ZGu/Dtrr1w+pruwCEwV9fThCFTVF+KhfEsM6EYKUs2GFnARDXC4qYoD7PWuDEMZTifMEV
WwPg4hRCnlxQxsMCNY764d5ZMMddQaxgv6CP8yh5HBcY8ggVOVnwyITsFcAZNXgGU/hZG96GBaVs
LVDlfDIOoZk9jhPfqOqgB6T5T5xRcV+TdOHqDXxIg/l1AHN4Sizkdjqiw6YgONh4YqLytVd5GLDj
fCphoOAKU/W1TFvKfAhBmyqzzj1Q9ECnPy+CQZAs1l+hrb3hoyLFD09zZjBKNpYwil4QJg8o3GJz
X4e2su+KBMGvb497Y5C3Wuk/hBYJNnUavWWc+1a+MeBcYoC7a5L+Ts9Jm0HDNCP6rXuEm/9VSX9U
SdQu/9x1unouaan/zT3K7/zZbtL+twScLVMZ5CgIef6qkmg3Ie7R6JswMUTj9d0E1P4f/VlNp0Ji
EooCjN/6ViXZ/1OXiSlBGhLfimL9q3aTriwd/B86rguVD9EcvggKL/CNP1ZJddVkhiQV5FSWDepO
IBWrmrPXqpTTnRpXWz+0Xwxy39d+2X1ROh+j3AjYdTQOjfRTlm1x5/TVWpHTUc5oLiUKdLJ/W1bc
6GQCTJ98+6ykgUpjqNO8CnVzMjrHQWc6kBVbO3B2XayBpMHraZOzSg8mj5G+D7emLLoNtrE3YeZE
hzo0U3ojOFom+SuCUM6VXUlv0njz8AVuMz3aK3Kw3FKz761SP4OOOUkHnWtX5z263D6F5Txt/ZFD
5ySda07NtwGAkVyy7k8So0iQFgqdZONtKIL4OM9dSc+R60yy386iDlydMANhApARibIhoBVoGPHL
XutESsvprLzolCDxtHKgD8V4e82g141SuXGq9EtAcNESCY13stl2VY3wtCCGauQsu7EUkuiGZIdf
1xuD1nHpGKxrI1X35OsddCWNLlRiC3yOoiQ9EXDuJzDpEjLJnMG8rdTIhP5Zty7sQT6FUxsnOzX3
+cDaVswOBspGpnuajlcm6FM9z1u3af2nJrA/xQKRdCT0nTH5byhOiFNHO2w7JnnnQAFRMGFoFYax
K0K/WVVJpnyCpof0e5R7KEDj2gjKGyxyO6wrlhtKnAjB3FRuwWQZSUevYDwknrCMnU0EUMajazh5
lc+mIoPkpVZB/PSV2mNDmbUbp1Jteu8JVFQw2QRYhGvRqsqmHxRnaeppGR4XP9+bnZA7OumDOwg7
2Ze2XI+WQY+elM0VdJN42xYyrXZ1ExT+rU2ywYVqhq+BKErP9hPnYi45j5J4umdm+gngH+VBq+0M
UbYuBAGPdo30ehtkTJ8Xh9yuj02TfS3Ij18Z83BQxv6hbACMUY3ddxrNu4jDidv75UPf2IpnNfNl
l4901RTDre0Y9r1N+EQRbNtBHqlGeCXEfTuoimuQfhhr9ELNwDhZTbDtbPwqEXUpJqJi5STNliPD
ZWpi6lKc9mku/VOvJHd0xtC0YOYNtIoSDea5G6tV5NVx0WyiMCccLDmGAcHeaRB6iuMc89TZtSAe
3MGiK+BHd/DyKzcQQQgtXXnVo/K+T+y1wBe7qrHZPfe19DhpP/YG5uGhZWo+spOpk5lcm4nxhNbt
0KjWK32pA/Cmq1mlLKBdRidSnsai0I55nW1TBUJaaZkHfaxd0ssYkmrhTR8oSzdzetKsT4nwjMk+
lFG0cXpif/yQZmFOzFLUY7huk/Qal5ugcqsfS9Hi0u58yq35HEpcVKbervWBzIwo9oQwd/NieYMx
jPelRq5N3bJKQ+doOQ7el+TEnMftDO66hpi9t8Zgm2Tzk2P27abNatdk3iSx/6QiDlxmvZfdMO+d
MvpC04wkNlXF/js4qzKKb9tUfnFqpALdSCxyXln3gaBHpmY+L3ERjis9bL2sYi1cOXM6bptcm7I/
Jv7/zXkWGc4/77i3GBDf6r/vuctv/bnnMshU0RbqUqcLsWBl/xrxMMk02CxMZOL0IWwGQ99GPGAe
ED7SwIKy8kf74bs910LxrSgkkmMwXbbjfzHkRBjy9z0XKgT6VIMdHPvOhz2313KtrYQznRAXNxtF
pLnX0ARLIETafnWwlXhkU+slIDPp5+VxGLpbJSNm0E7AUy6WkShU5OWYj0zWY5oQXWNcGAxo3XTS
m42mInAxC7QJI4yCa81gaEIuuDhkUyC3TVw8OLNKx00qLznNUjQT83UWQc72h4JQnrJPV3pgnQAv
9G5esIYHJZ6PqBjmFfMcGrEkVTDg1K4TXaT7PhsIlPMlNpFQ7oRFyoXUiT9Rky7HrmrmEi5jcsPc
921Iqtuijy7LbKjXtWKKfTyK8SLA9+TOrVOelM580rRlJ+Cv+GpyhHs/4AHv1s3SoPQH50jPaVXp
sEJp4VwrCdy9rrxz4uoQhc2TIgDGlhn/2XnQcBHFl4acYLex7s6l/To7KfDVCW+cDU59sthA2cAr
V3S8qKE5bhzNf0lCvVlJu9j40NUtUR0Zsj3EUVbhnSr9hZHK2UJOX+ZIu1JpR3iDXd5EYQBSnnEE
Djgdu+tWdDmmh5Dr+eAREJcxOkMcVJdIoNjxFWdACtUeOtXZAN17m2078qTVww9DDmbV760gBjh5
15S03mN4hfZQ7pyAAcygGZ9hkx47nMHriqjcftQkKZdvvmV69FQpRfzgGVrQ185CrGElMl+3xlxs
VKWloZVqZ7+ezJVlEjrCiOo6rOdnu+LYpGIGdcMUc0a9WFpzsyBxt72P4+K6UzKCPE36I0uzYK42
gNlrwqGgf6jm9TgEn9u8dIBPNocAO9C6Fxm2X5PH1aZMXEVJwGBvokdgpXlEE6uhbxX4rRdVzj2h
xmeilSuqHvPgD3bNNAeQXCujZ5opy1JcPFujDgR+BADZCH/e+S3ytoFIEiKLQFZlREitFHUu16MR
GKugDW4t3+KZotu+w5d6bH1a2MQnMvSDh7qKKixlwFloOw3XphpykNV9COwZ0EjAwpmp7QiNIxk2
cEhiaZp1KjRJGA3ohcWhapa4FiUuxRUMylMxin2N3wwwdPJCHsHnONO/lNNwjhcqPcK1Nxapq1oL
MkYw9hXUCsWLbVoSfkNvx5mas17qr5zsy1VThgQtT1+G2LkatfwWHGHsZnJ+TCuYWY2QwYaon5gM
IrSKrW8+NkV1rQUYiOM4eYtnhHaT5uN+pAzWUmFSRWCecgICscKAsWUQpR6V82fiIz+rdUg/pzee
ayV+yiHuc/tRq5W0E5cpxREaxH1cC4ir/QXuQxL6RgkKprzwC2iWzCPdHmkludbisa2ge8bFZVFn
6WqwOHqGgfXQ4kAj9Uh3dn1JLdxkUE0G6ocVYznjpCWFLdYVlrLX/w6ifxxEkRz887Z49dY/v/7s
KMpv/bktLqwD9jiFzQcB2ZLQ+KfyAVEEUe9YjVA/GNZibvprW5SaaSLKQZGzJIx8dxR1+HsSvQ55
duyk/46RoOv8zz6eROmxSQc+HAwR/hc/nkRJdi116UfTKcrP+mQtyxgY4bF17kakbytlIqnW0fJL
e05v7Mn4MpWpcC0ar4Q8pJzpogaaSetcNIlz0hVaOqMwvzhhckw7536eqzt9YEnsgg3qW55x3EFp
iRjVbsxFYTFvFS27xLSIXdLvHdz6YDuVCtcsXDvo5sm9GZjzRgf5R3BT5WoccleFJh+SlOpvmr8I
n3B6The7oerukqg9145xFQHQ3KLiv82SkXDzMbjy+/aiGPpyNYnmoNrwX0fSLLKx4DPP65iBZ2V3
+84ON0hXfDzV+SYPxeeuhHXKURfPyxU8vc1sEGEOisf3/Bxp78weTCt0U9kAGnTmiJRHrzSfT02i
mqsgqqbbWWSYmn2yL8rGnauRY2GsM5YjrA4siojJE5eP2UwOtDn4FsM7Jb2wishZV4PaMDHxiQAv
4rU9LND2Jch64sA+OPNKV+kxYqQGtirv6f8RCxLQYYU42nGWXXVoE5PVaIJ8v1OHAc0H4IaKnG/W
tNBLY/xh6EGCmFMYm6ix9gtw6hVVgm32XtJMWyUdd/PQm16Hy3wVB8F2VIzetWaklr5U7wyLmS2M
grcylsdUaZwVrrOn2aCJgYeOxcjv7to8f4owafsSXAPKEWk0+6nrDmNNOp4Z57tCU4QXJqVkGtAf
HYUEpwRKeBgqnyfDvMhKBrSZnJ4rVVZ3Roa5OjM4+ParoRz2qMa2Yxz7zCp8ZieRv8OyRWB4pR+m
LlFXjsCbPAkqkTmz70WPad+sxGZwtK0S9Ux96BXb/rCfHZmslKI0V0aQ/z/2zmO5jmPtsq9yo+fF
KG86oifHGxwceDepAEigvK8sk0/fK8mfEknx1w3NNVRQJICDqszP7L0X+VUoUSjgtkkSewvdk1el
GW4sgdFVw8jStuJBEnGcO+ZHZfGZ0fc86T5MgTC7RyrwHBXt1RQzI5x6n12CfOpaFEQ6Q1+Syb0l
eMF1OfWHgr060dHyaSAVgLji135O1p5jHpmtr4ykfnYTlAOhReZ4ppMinLf5HV3UfUxi4KIWdse3
lh2J7VjXkk1X7z03AaqPVrinlg22jO2tbkFII5Vhq8+kSQjx4vjRDXCfjWeUZ5yq56nWA94xabLk
GUjccssLmQ1oVKJNVn7J2CAIolLX3Rhuq2RUHEKbbYEzXyVgUHwdFWoAc56v3T1J0bGtds3XIgTY
5ehZv9Spjo08MhmTz3eupJeeqtxbWK13R0DaEdf1s/TjUx5M15apbZlYAGJrgi9hoe+KwOcx8hro
ywUPYKiM+tM6TM13Bz0/L5Rxx2P8hFog5lioLvsEt3dgfQnYgq9TbbyqQrK0i86wl8znPXBlpbPI
XeRHfk9QtZNN+dWcBTdZxrlCxi8I8QEqcTEbRJW5wdsU9q9Z3lyFRstSDf3zqht11ltzE9DtO8fa
7+wraflbED1xec3aLb2tS+NzOCM0iDJ5L6vqAhHXm0H8ssjFvCvCQFv3mXkZ91GqSo6ObAPSlgi8
eq9qT6JijzPCt2qVf9HQ70JoXJC0ChHdydtlaLcX0vCOvWkcEmHs47i/aYnwJi3A2rsSbZfQjlXB
T5kgO6j7WCdWW7NB2kerNC4E0fb26t8r/+uVr0I4//cr/wpS/Gv3105Y/a0fr3yijRDoKtEiRetP
Vz6CXi5vHY/xV+Hu9yufTCTkj7h1bBArNhpJbuLv02dMO8o0EzjYcJAoogT+B50wLqBf73wCEOHd
qhKC1AvrVysbLPkSie5snB0WK9kO+pTJ/ddkpzTMl7bsrv1YPob0JmbT59sxCh5Ru3eLImbJw0At
CHNucq5W/Pzx2qraa3eooCXpR0EOnFtMe2tCoiN2Tqo9V1F0CKMNqSxnIw2iEzNKf+k6c7DyDHKO
sw7KhTvLL9xu6PEERzHBMc+oi5HQWBpE9LF/lhVFLMfSynKGK85Fa92Af+LP9aMcWPAA0TrZZBEj
VsofSk3MhBzp70ndfYzS/OJjfIFUlsXL1pxuC38alzACnsdZe2wlRKZJNlQAro/4LLgs3Xk+anZ2
4xrQARF/ysUUpiv2uPyPYffhhALrgoRaNhgrUiBM1q4JkqDQNldFjLWB7ueznj1xSsadKxedvkyc
sd25yuQden27otaZ7aWTEZIBtQSk+apGpAwkAIPMq5EAbF0nU0uGeDnE7MfKbIeiouHK1ug+7Kle
6yofSdcDFYoN3pbTPdtb5tBC/UraAc3B2F+TGQeLTebt9VBZKXoEPMU11qeFSXQawwzmD3GTImYr
WUcXjftUydZccJojT2xtf1FVYHh7ETuLKSA/MQxCBwDCOF/zbNqktaT6KqXBjiu3OgSkiy+wGSSn
0NHT1RiI7hCTCLGdcFCRKZfjA29QkrO1tcItA4oPM6j8bRM3Ytmg+tsZrvY2QLhf4Dxr1mxVETk0
rCMSIDo7W3ffA61ySDYcxzXID+7gwN7nugBD6qT5lW8x/Te6EoG3xh0aEF+5tXOLZI2hc7YIT96L
yQi27O/Rm7dafuXJKjrwyaElD8fy1a9oS8050XehjuW201lZlibITMvos3ZleB43CZp2uksyASqS
DBedw/yx97X2OHrVeIxG0W6DmFgCMm2sbY30Ys0vz6bXdD7YYOMRmeMPtrvWVklZ4oUuCyYmQR0z
9PXtN72gVCNLjIlvwaaZCoJ2rbaHdYiuUuO7RO6YlkgleOeiQ8vkGEFiVvbrmOgXfT1ZPjOUgSHq
R44mZOcj87+uDAiBrKW7Yx9KHVwLlWyrT3c5EkaIOWgGSyvIoAs1D2RdRktdhiSABWPFHB7g39A9
a1HzmFcloDQ/GNdxwQU8FFVFYLzHmnZOH4yyukqbLnmZA1KzzDiKAWf4yAxqGloprpOyJzXURdNP
jlqzD4T7HufDi9DDzRj5pHMG2seY9ko1kTyT4neASvQ0uaO3ZcGL9rdo1SESnPgo9iILPireUwY8
rKkK/073navGiA818M5F2SK+1u3Pphs8DrlG/99OV71s/T1pTbtKdredDO6b2EWX3TOObkS7JkEr
WTCSn7eWSXWcloh6fAJLxqhj6hPfRDqyGS+iLxe51RwdXb5SbOLML81dUsWHzAvPvjWetMlqVtie
fN4UluQlDxtNUU7oDkSZt9SnBHazPt1FFrZAz0bdOTWBfXAJOFjYbgVW2inekGNzZumiXLtWc1WN
2i2Fu9qxZ8khAhlC6QRkPptHn2+J+nTWCDKqJ86ksBqj64I0c8pZMCoItK2F1MOQUoIv2tdOvEb2
HGx19Ek3edTWK98Eu8IJI5hJuuSKOVOwrW1jRj4e+yqIKeeE8WZUm3O6DrvEWiUwmteBTBFNtM5H
N0dyldlyj5jgTGl6LKz0Ap93sbZG3dxaaEXXll6Hm4yEuE3sOToq3JDIJr2qdqY7OauUej+Jcwn8
ITG3pqVCWFO+27jgrTVHtgl5Sfwe+jAV6sgppZO7uh1LflKnHRxFA4wQaRvuVktpN9IC4mDD+Inp
KCsujimx+LfU+VbqMFb430ud29fPZJmxZv9NBKSKKPij3DHIeaSaQF5I6YJ45qdyx3fRYnz/E/7W
9wkHkkTL5Vbmcmbp7rBR/6Pc8T/hqKQEshyfF4fZyD8pd5A4/lruYI3EuU8BpZN0hdbx5xGHlQ5l
R6DZeJ5yn+0fE48N1Ip0Xaeqg516Orus47107OF5TItj3fFKuPhF8PYlidJmg+4ufYMsSHfN6rZY
FHPpKZOEdtR7+eqEprwkJfV9dBuG1+BVFnUe3lpCc0/lwLUzD1bD64qRETjDOo3ihz4e16NekgoW
+AeExQf0ih/ZND+McXHw7Ozc5MBzDHMXJAhxgpS7ISmsGrIMCnSigfMV3TjxzQotbTvue+rZ96Or
vWSD9j4OKtcrRK03jTS/5B9/adhBECSsXfb6IDgdmZKPiLEXQ+C+zTFJVOizjGXuIYMcyMlcibl6
iIvq2nQjgvaAznmzzWUt+mEdtURPn6JkT7DeDbNjEFfhu1TMrvLKNaA7WW12WQbuRk7pY9FYi5Dp
flw6d4PD6FZPP+ZIdXC5ee0ry4YvuMGGqGMz2hPzJkiIEnmcb6YeeWcTcLa27nxboPRZ9d5o71j1
pksrj+GvlcKj2gIoXqB4XnYh4lCOxW5l99Eui+mQC/YSQmjpDaQ0czXR+i7S2SaVN3GGlVORQ9g2
CsXDYGiZ+UZ9QG5wU3UTGBIQDVu2jHvMfMmqtfpkY2ON24kwmLOHMtK86GR2snhEWqcFi5yUPT6+
QS4ni3J2mBIqFcf/6CC3TPFwjnvwtVZBnDAz8b4LXlo1gUW55mlo1NgRJ7YRbhiCG2dPT6YltxUg
HHNGLW+P1amQZnLPQv2hJUh0Z7nBSwZFlEsa6vVopybLI9FuzNm/C8pxb7GyqtsQ74NEIdAaxr0m
OH4FneJ6CmW5HUYSdgtbrVY6yABdybBJ57O0uuE0AQ+84wlA0AHuFrlnPl2VMysZX4z1HRD3t46A
nqOXmQMDnPi9NqgWpD3r8MaMS82vqCLAD/PROwZax17sWhG2OxNw2W3jNjl5kl55l5kw0mojiREP
1HeV36/63tUWUkhyCRNnN7mlkshqXMtg5shEnQFrBQQ+W+20LJB3rp0ELBnYAbb6Sege+ll/ncJ6
2cTjA0NK8LklbmbuzHQV2QFV72Rre00LxpcsHUdwbU24Svy+3CJ5zT5nltPtcihbC9n4h2yMp92A
emDd9jitVi3rf/L2gvZ6tIzwIgZPc/KH+bKj9WMkAnuCeR1vZjG0G6ILWaGYZXfSfIlpx8jI73Ym
uf73Pvp2H6EW/7v7qPzP4r1Mfnsf8Tf/uI902mWXJhrtF/9swLb5h4m7S3SLyXWAWR4C6p/3EbRU
Buo4Eb+32H9cR+4nNtfKf+uS4KZW2//kOrK8v0zcA3ICdBIm8Dwyvld9/k8KeTE7DqoP7dJzinSZ
s+5LQp7J3MXKxzYIRPW80zp4kAxurrmFAsTW7JJHoJGjokcyvN1LxZOsFVmSoX61MBVtslHcyQQA
5QiIskqnl1pvTrOw9lKRKmvFrLRJkQhr6x610rYwELVHfX4zKc6lA/DSBXwJxaVbhpZ+HejEbY8+
zv82bR/1yfuYbHa16VjfFmZ67xkF8+9MYrHVmF4VQfNki1qsEgPjV4a2No1q5MWVtoF7IAizwU1F
JgbNvcUyXRQHknbHZIWehPsMUpu2Cif7pc4Hbb6ms/SHDbmZI/6jqus5kZpUrxmvGzaAAST1VTUG
m9pANjJ0MyERHF+Ia6314IARz8hREunc49FEwl4BMiAV4Evvee80eOwiE99ZWP1lPtybXeUtWHcE
S5pWCGJzdetNRrYwCvOF7A6Nkh4QGVQzwAHVcHTDrjs0evkGUDVtgaXHlb525oEr2S1s87r56uCk
4l2NGDv1mEG6xyyC1HRdXddPpV090OBV51pO1QW3/7zUvGBdemxOonpfYiHtjG5bwPfMsZZOTvjE
HInpbobttMInJUpb3xuCwWzMzw3KDpdq6ILN0pUBh+/n0Y/65DAkMNjQBbM2NkIseKNVnAl9uMuR
FmyKGgtUgKnH/goU7BVbMPuKGWy/IgcNojqkOV9jNWIq7nbMRhShsK3124hk07CBXSgJBm6AGWrg
FikBrp3U28Pz3WYDqG5FPxzAIPZ+cZ4CoL+TiTMTUKJd8JsfSfJPHQEkN310ICp6VbwdudqQ8keL
AOYiZrG7GudIC4uxhcmY9MbOIGGDrS+4RhetELh0azux0d3oBpLuyZsvXIV55FeegiFP30mVWAwt
35uG8mKNbRRiAZxIRH9bC24k1HjWN4Ake9b5ErJkoRCTs4JNWpp9m4jxrdTI8+juWmEYS2bS1xGU
ypq2qazloXWNBz1IR9I7IerCtUQRT+vMCCrpspdCoS81j+5MwTAtqJixwmMaCpTZQMwMQqNa6wUp
KK5k00VtoPuPJpdZ1WmrCuYmWJM3q9axqisaZxSfR0Jpmna8iB3jIVfYTt2cN40CeSYwO0M92KZF
CQSdZpuUt7chZMOAPOsiUDhQ9JfHPOd/gxM69gBDx7bY+xBEBxVmqpCi0wRc1FOY0ewrcRQm2rx0
v3JIYzxGkAjc6DmFUlo6qVi0iluqdTugrM8dPNMxGNZIE7ep5b/0fnkqBN6Nitud9dSyh4jaRvXT
rBCppipBR9u98KGn+kaD8U0BVdvWekpEux+JKM0VcrXy7WuL1GH0s9emgrLOcjg5A5jWCV5rWNLU
B229iyG5Jn72iLHuAnXAvUeeMJZM/aaH/WrW+SmmM8108ZgV9m2rILEFtFi7UEvK9oR5hWYAnGw0
G2KRQpjNzebYQJzlITlUCkEbt1ASQmSQCk4rMN8UZkMIO6C7AX5tBccW5PpRo9NdNKO2t2d7pxNA
1rfNvoCAO5IyHMjsYsIb3ufyuh+yHuhjc7Jg5041j6xPAVZ0+X0IXTcjLN1unH0Pdbez6wNztb1h
xQ9Dl9w6fndHAGfOKCXcDA5YvsF/y+D4GgroKyH7hmZ7MUP6LRXytzNGonKzYwILeMqt20AZi9DB
LYyq0ZcpYBjyiTYlHGFg1scErvC/tcm32oRa4b/VJm352n75LTJB+fS+1yeG/cmwVJWhIk2/1hN/
1CcG7j42A/TFpLurxf+f9YnDn1CEBI7nEURDeNuf/bL1iebbp8d1XIoe958VKKjvfumXaUKpc1zP
oTrBYairP//BwhdMjlYDU4gvtcw3V85Q9GufnnPvDsQSDq3Fw9Q3Pdml7qx5Hp54SUscjk2X3gNS
Z6UtSTW/LFvTXpExE01omDx9QK/kV/OrYEfeYnidGinMxZSjpOMNgi9BppPlqu1y5hmN3DPgbqNu
29daHt/6fY9HzEFkStCUp7sLGcn0rqi4w+n2UpOgAJ1AfIN80IWZpvGmrsmlqvq8280xEp/cEd5D
aQyM0Dmsh4eaBSNyUaeW89Iu6ZPwyTYliMfav7KyoX62iiZ91pza2QFWw7lnDHlIb2ZE/iL30+SE
2ppM8yKURbT0EzdcBpWJWUsvlkzDxEnXvOLSc8vhpsDmuG5hOdhgpsthh8naocNt/BeTUaFEXRBU
mHPZ204Lz08cD0lx7t1ouJEl6rwi2eWtJz8Xpob9JLLnrlzOOpcgVKLASelMbEsACfcHq986tMpa
t0owAj0DXDYMRuBsE+wULkG5ZgERSnfNGSGVDmK0pAyQtjEtJo+9jbYeo4zrrh3SFysou+vA6zz8
aa5Be9vZ8R0ApsvA6mp2qxqf5lVJipu+jjq1s4/CSjT72DQEM9HETJ+zvDNJEmDzSWkkkKKPpZ7k
O90qCWonsSlM9w3V23QoPEgK7+7oR++BFXhbol5CINlxpTKiyADrtI7BqAYjMfOT7im2jLo9N3Ry
XFH9v1M+49vJhdL170+uVfIe/W7Ix1/849ByP5Hfwlj9m/1FCZK+N1UcWqwmiWMhpQgdr1I4fR/y
WZ9IF1Lt1p/91vedpvmJDs2yAhIAPZJj/+Ghpc7Tn3RMHv8Y1h0ETmxRDab9Px9aCW99F4OpPhGO
xojfIQMjIjrIdbJDkfDwojYaJLFaC1uvTRDm5SxvRRWuophMBAuP8GsWl0urR56vE3Hh5YZxhQQH
b006IBBYdEMZnIuql4fIEnmyb/rZvMOorTl7o9NbbREEWn8uQis8ZLOr92szy1LjNvFQTRw5rvLu
c1BG7nhqrbp1rmnHtgPAs3e0A2wny0TQpti+gEOW4kYIGj8ZbpD49Xs7N+lEpIwzuSajTaCx8VBd
eE2sH00RhMe2aVLckCWemHiCVNE2bb8W+pwcnX6GPhbKmhoHsMGr6LCDMtQM0V15NhVpVsbiKjYd
pVt9ATr9OXWpHomkKpa167zXffHuBhW6y6Fo7C/E1y99os/MJhr3pdSdTZ9pgiTUyF0Mps6odMyE
gY9lZEdDPfpoaAxGgmwMP0+JO+w6qzT3sRbGF8DzCnJLWu/Sa8S0l3XdbG3lk2gZvCyKjEhDx2c9
xpaCLIMhPPHLrVeE+BHE34Urvy+OvghIFw5b70Q7LfeZzZw1MYE32EG89ZIG3WdE6II1++my6kRJ
olS2qv3gHUabtvUHucsNisE0cbdzOPYLrSOOJgoxl5Lj/2SDMyCuQg4Idp1tZQTImftp2cfteJlZ
5L/oMYOvIFfANAe8TqrV5hkbUnYL98+6KV23fE91uz0UTVI+YpVtl0nSAIUY0n8z1/7n1OIY+ftT
60Ik3X/Ob0lX/+7s4q//cXYFn5gFoZkMTN1nocDZ8P3sIpfKQs4ObyrQiZP6ueBSQak+bmDL59xT
s6LvZ5dN+BRcKR0L4f+ceP9Aj/HrycXJSX6kH2BLIK4VicfPJ1eLoaKj4IvOEYC6zgR189+wALb7
c0lHpUnUL5sWEFn0xP7XRNgfS7rCqHQygObpMsq8PS99sJkAkLcbr5hOk8XSdeWVc7eVPJ9r/L8M
Vozex97a1wkS+j5wT6jjg44SJ2xOotX8BkWZ5TYn19XgPtidmKOVDpxNIhfT11U96jVDeOA1ELT1
7US1t22ryFyPhKxu29hu1iSaplvLpW0rB/cq9UqVtF+AHapYMSRYoiCBt1WqbcsCivFt2cr4o6B4
21jfGNw+m/p18I3NHeT819qobYZS8VeAN8J4OuS6mZrrntUkaVJyIzWDqJwpfrJq4xhPMQa0XKPe
DNBPDM2W0dfFKFxj4fXapYiHByez7pqgu20zeUEiwIPrFCVuyYbonsS+aFp7HdnNRUzCMdED2R6t
WEJd6x5HIydwAWrYEFVIDal/dZKnZDUfaJ+f6zQlGSz3XESBzbklHWJHyNaFmPS32M3mY1xDaLJD
iBh+brAxxxwyB8F6ZgAEcAr1QWQTLtBPk7NFxCOPzVwfh1DbTkUGDS+JtkXutKvEkngCa5yfyang
SFqHlg2IL663Urb7sE1uYhIetmmJTQGuz76VikjZGfuymzBMxMVt1fbH2GK1qs26+3kesm45t9G4
ZBW4mWoe1clI1jblNwVdSdhTuJ/q5jTaZbIwIMsAC/E5xH3yFqLUuXXsucLib4tdV6JSK8MAvUxo
c5DO/alxB41dVrsfWIERpaa/2674YhSOj6/aLY5WQGj1Is6c5Lou/YLJgZ04S0ztyEYN7RBw0W5Z
DH3ONBLIXLZchnffc8rncegufCSBYUaojmVcIAS9HkpUdyxN8MCvO5jwhYsHdMzNrY/JfNVYfPBO
6e06fXg0lGqxdqIVXrYXmppTpffWImmng5PrV5J/dDCYeaBVlLaByEZ7NTuMs9q0Zy11YYXaLvAe
pvCl8uUByqG/cUCvtZ5z3yCfZov9NnCRi54cKLvILhxzviIe2FhaZsZiPwueUU8+W4ymVy35WoFN
BNhon0k/hA8WL2OJlsDBFOLF2p0/dfd2NuBjzaaVExOwODAmRThE9Twkx77K9jiiQJ4NxkOtxXe+
X9xrteKnjhsvqj9wxxyaQDtME4Q4dAEHSopt7uZigYRkZVUGEzth9zf2mJLwAIkq1V/Yb6LYsnLG
iRUjS9Oq00t8rNlu0grzuRp976nzK4yF0zyH4DfD7GYKPVBjU26gMgqBayV9vGo0wrqAjmGC6WdU
qKamr0Zei4uhdpJLYUvm0Hk7hN1S1EQorSIUHxWrQXaRfhP6b9L1IwCf7oPWme566NzLEFzRGo3a
gF4q6HiYgcqRo5YfZ/KX2as5N70OccFqxmYVDbXPXDk9DhVrxjobyQir6sVQd4hgA/vJdW9TfvOr
Rmhy5U1defCt3D2FNdPdSZL5krnVm01OP9riOeaVY5ZsO3c6ACY+xznbRnN0kRZEMs1ZeJ311ZuY
AuJxkXSnKOtDTb9FNvtsWfULuSr0rOluSPsPrx3PuSPTTRSSrIcK+NlMxSZ2vZdq1hbC7wgRMahx
iLND/Nth+UoZg3ahs5rnZJnCD04b80vh9tO2blBclMPzgPjKsfua8al46XpSYVt+zdmIb9x7NMru
wRHlo0OU1yKY0tspny/KYNz1DdNtbUwfo3jeJyOv6DSdhrDYRgVBInru3vS9PLO6fJ5i57JK7aVv
D48jiXbGWB0STw6bwQ44LHQI9DbDbjd7kU0CJiR1twA+EZjlDZlcfkLgyEQFS2LCMnXcW0PyW+ty
pvFR6d2hTD/0FtES0IYAKMfHJsQ5p+FZSBLZ76o0enQASS0Y7u2cwlpz3KAVmk5WyU9PRtWFLzyS
W6KD0TvPQT2sQrBItZ+dLfJOGREuSAFnrW9mrxoGGQizO5FLVCUifNX77MBnvUrkhEDZDA62mK+7
WufbtLtDqmu71nFfQgZyAxExdj/chra3Yv0jN+gIqkWRxFe6PX3gSCOtgqmcbpMaaMrkFDj5tgmb
u6LsUdSU1Q4CZLPD9jNf4KJEWGheiDZ5ccOKhA8g0KZZ9Zuy0I1FZdvjFZss8n7byFpnfvtUEtSx
0XT/jMkNt1rZNMopjI8rngpCvNzPBHEXLHoj7WmsXZ4Xph7rGZ3OwrKT/AuMSm9lWkVMAsZsnsa4
+4dgFUqQwAap4lKFIOr4C1rHyByjKMpQu0zTe3wdWfBmO9sfSkBmqtAqy/+Uoriq0I51/+//KAfn
n6kKqsr5+Uv80gPOPMVuxt74UlepOd5Z1GcYK3//NX5Obvj+NVzlmCEiwrGY0P1YSZmmmPEjJ9FZ
B1Xo49fsL6bpDsDk338Zpnl/+VEcilYbzxBRWl+z7X+YwUVVOlteNkRnwYy+SZmEmLyHzb2wr8bB
wGKB8835BsP619usBM5/20qQYbt4bd9+n2L7g7CbhDWGGTazBpTa38azfzQS+iccyjp5tOx1lQ/6
zyGI84nXlT2v76oAEcYdfzYSlgpfQ0qkxhYqzM3+J6vlvzQS6MMBHSAgZxBCWvkvj6YVE9HXUxtc
xuAwu8tpev7hY/nN6/WblFxU6IxZHAvYV4CH+pdWRYSd3YfOJC6FJJEfTMAMLiAPUdi0/QfOihW7
4mRV2Mh2DK3ck8axa5sUb0ONF1qBCHB6bUuvZb9NupqIN3ZXf9Fyg6ltcCEc1B1dzxUs4/xsDAaY
A2voG+scAV5VcVFAvfkQl06MnglP2CwhvuvOflKH1ejo7FbU+TWro8xWh1pj5iGWMg46G6k0qFMO
v1Qdg0FmfxbqYKRSjJZ4lpqjoY7NyPDPXu1p65wTlfmztWZ6TiqLOm7TaTQWljqCDXUYz215HDid
M05px4QiqY7tUR3gOSc5aR9y1XK2h5zxFme9j26EIU75oqlrwOA+YEt+JncJlUgh5YbZzyqq+1uP
IH2Nu8RqUPlwt5S1OPTqsiG87XrK/ANGmHIRSYTJ3EuN572GxjDiwUFhGmgrkSWvvbrKOqU65m7L
ydbVuOtYjOOCMZ9BvAL09nbEJFzY6nJszeGUg/F2uTXbutm56hqt7OAhVRerzPKrVl21HXduz91b
N6aSn6YHW7PvenU9m+qitiSLU3V1x+oSF9zms7rWHXXBh9z0urryK+5+QQ0wUgvwu2BeU9LOYUY4
wNFcAih+tIH7jtQRLvVER11Bn3UTq0JDUHF49nCKqUAq1PIR4rJ4YKNYUKPkA9tRM791VfHSp/kj
ApwHg6rGDcWmosrxpcOuun3Bjl8vUPUQQdY9V/zw7MUmPDzyC3ZCFfS6xKoGE2O6qMfUR3Ee1Ui3
sW/1XwsuKLERFRhvwSZN0ucoZB0xdX260YTgsWk+Zqo3H8eUTTUnWv1Zo7rrPEK0Muq9gbpPd/I3
qepAVRDGVIZZqiiPqli0NY94TUJoakEZmWAS0guEwQYbDU0Vm770nBNlfnlIiNFD8mWgYaM4pUYV
qljVzJY9hypgZTre6lS0mqC0NVWR6zQTxbbh3EyqABaqFCYNRNkDrY4WmkLZtJNwPVI7Rz1FdEI1
rauyOlAFdqtK7fhr1T18rcCLr9V4MWvhrHanyeWkyvWmdvVVwEexsLI6WrbfyvoqXtkxSam50PR1
L1HllaoRqFCNMugT+pE5IyTe2WSl1B77fjrXds2cQUz2wrAQextm0+3oI9N1lIgLQuZZcWZ1uTWk
Q6qQJPV6Mo2FsPN6XfVNhZshyc8eCndYtVp3TQg0JOiw/uzI+aENrVcva3acb0wUjWIZGFzcc65d
hJlJIkPOfCBzHeZ8eUUD7JB4Q4cZ5o8Cvu44tOMSV83ZhkPKybJsU3sFVVKsqro8eo3HgWjwTXvj
dSnIrq89lbE8H+Bw7FCQk5fHPIJqASMHGbbxSc/1x6wl2FbohxFLzbacshc7RXDTJT0RjaF7NHoA
uqGdeG/1qJlL3LQwt+1mLO4yoxg3AzoIC/HZ0pJElcW+pH9IkvYk/ezSMpm/BN210aDnyTu6Loit
Smmz4sjbm0YoyD9z230+D/cq8K0wi6XA8JdDgxHxeh77IuDMEYdRd6uXkhwLzl/tg4gkwpoEEel8
ObRxtWufyfdu5yU5bAOtSzxsAbbOW47++DFs+AqmyO9KcqJwy+jBQcwtQv80QiLqoPH3LB9tP4se
u/LunAYGzMJO6cALE+HJbIeoIrPmzg3nO7905JMMSwgBgrgdR0QMasZp09PUbWt9KLfV3FRLhuXN
oh0c8dQmub+Z/DmRS8KdySO2435nDwwfshEBsF+QeFBUz+6A8mYkbdCbcRpWZ332Dlkz3+sIhAcS
FEjui+9Fbt75ogmO0zwN+0pD/VOF+bysBWlNta4/I8q0Vow3midBTsGKZFC5yGIedAIkyc0KrScT
JcBtaDrThqBlOkAG9N9UgZ+n/xu9V7+5nv9S/VpUGCpfBWBEAAVUlZQ/lIwkLpCxEqXlZZ+lK0SH
e8cdr8e22/x9FWD+/uug6XZIQ+O1/7UI6D1ZZKxNLos8P2HjvudUuvJBcHNctotxDvgFzPluAG6f
+9muM+OLGNeOb5ZHTqoLh0irNMiuMQjfEIaxtmKxFEG/YLT4XgkXAxOvgC39S1f/b2CV337nDqgN
A9SMBRTq50/IKUSV9EFWXo6EI0YzkPECC9PF338+gZKT/9yFwNBSnY7PJ+TwoP/8VWjj67nIxHBZ
R5jmcHrvmZ/YzAAb7g2IuQrc/KSRyH4Nk5HZnr4f/ZFkjpmEMaW8k2kBdVmKaxFbwW3JrSSq4ZJg
LrpL4mWWDrZh5cO7TLTkMIUIokaT98YtaEjmANoRcufXrAciRVT4ViJrDTvDXcd5kq2z3vqssTwG
GASS22rcxcw2bVk1+JFidN5cRZQ2sbtvpPmOdel18nBeObrKts1PsyQ43fNmbacbY3rS47pYyAkJ
emQgGo+DlFj4JHoIhVHcNSNzs8Agb7yo8U67db9zjXE9VFxxhuIQpB45Irp5dnSvXE0SS4dh5Reh
/irA+DjennPx2ddQ4nik9c+p/ZxDy8YAhiOpxrVuMSaSNqXHxGu28iKCU5k77doe6H1hTITCDa9Z
YsafyUff6m5TrLw8hoIjidnpmk1i4VjHQX5TuG6OeN+A/iWnY+N1p79/HIgy+s3z8P/ZO4/lyK2s
3b7KjTuHAt4M7iSBRPpk0hXJmiBYJAvemwPg6e9CqVtiUfpZofinGnWHJDKTaY7Z+9tr8YUkn2FQ
fXeW9uj77yVmwrLg33Vn8vzPmtOCyQf2czalGrZbG30NW4YeGV13FXOEpp9hQ9KyE68Ko1fEnLZq
2J4gtWFGUE9GaT9qehH5LaE1v+9lfZcbKgq1mGIoqUl7LZd6vqUPBj5YwfJjNzAGdBYiOS8LRhHr
2zAnYa5ELcU/JCqrjt5mUdW+mc8vTWk+E141KGuWltvk6r2pTpydqe1rneIxrUR3EVAmSBXzkZFJ
nBjqK3RLoMWCZcDJtmYx3gVOcrSGxq2hA5vMNc0jM1STemsMwylNots6Nm5yiwmLqXu0U1DqnBvl
tVn3nAXrYd32xPHtZcJOIxUqByo7hyk9S3wm3MrRnhRNelQi4Id1N2vrCE37MEvg8sZyrejNRpaT
nVMMa5VoJ7uRp6ed7Nq2OFgNs4nK0LLNLzMG3Z22JBrgeLakUjQhv9Ra81wA8yHReYKi5KXAy6CK
Ha3C9AXkm8iKydwx+KE68TXChXQ32fO6JIhpZtDQKg40pRlyL+HLOEjOtai771DUAoYnlqmTxO+6
HrUGkEGVzrSimEcTOHusMahnA6xZ6+FM7ZATatrTIVWCdaqIhxI6TCjFFyOCsBOVvpoClGIXj0TI
oF/2RKHSr0P0ijtd9xSFXTMLhN+xvUOCq7xeqhMvS6VNIuzDjD/LcojDCIU6fgvabjWrip/A/zOE
fQlsZYuUnXHG+ojFnVNvl0lXWQUBacqsvR6KQ/UjKrwMTDJPqLhCZmirYgau5ZaQmaT183XZWwA5
xMU01hZ4Wtg7+eibuOz0LdqFh0qWGLOTT6YBw2kM9GMSiXY1BEFwgApuuS14G8z0QbERw+xVnBu2
xAlbbzKp3w2cQqwSzoZFrGUIGuUXW9svvqnLSPf7b6oaORNTmWkPsRE6d3vK6UOPw1JlvUqbk8KN
5fO14eck+FJLosP458qAxenD45FCKHJWhrJ8g+o3jDcgM4vwkTmXzx/I+Gs5iTl0cKgoF4mJ6cay
M747G4gWsl4iDyPEwIlscDy2bhyodwasxl1USnzmxgGmdAy6UpGVk12TkTaTktxBwnyO4Pe69Eq+
M851PRYanS2t/yLF5VUpW7fY+8AqJG7XqrcjRVyv6EI/7+KvRaI/SFFW3YQ9rQkDZsEmN/qld4DL
hdSRAkuSI96m6DTrgcrqbTWTCtWMfa91u1hTiU1MO6NyrkSKaoNt25JAXqhYMXppQUC7Y6U85FWz
jrNgJyqwSNlorzojf57lyXAzET7VJLgf1IV5pWKO+8Wr+nO95fe37/2LupQK372oqUmvq4EEfLbH
r9H8bbJ/Iaf/1e//sHFAqOOMHKYTPJtbWJ6k5O5/8bHgCX48qbz7A350jd/9AbmZp3KqhtPZUC+M
IK14meRocj9/kL8WTJePnk0wiNauYZsfPnqj1VJM1vkrHFDg3Usncs4k9/Fo/eLdUH/+jJMzQqtG
BFLhC0VIkpPpz2/HlMRMiM6VeuYY88Km5t1lfuBJa6Zd3YdVsXrYme5w/HYTu9GXcf1M9fsb3+h2
q+0+/4MXOdxfXtZ3X+sfT/Tdy+oMsVMtssxz5w+e7DKhfdtv8mvYQmvHzRpf2fA6+3iPVkzhrx2v
IqN3Ll4+fxbG3z2Ld2+u8WHMJAvazFYbXvfHcaeurVXnOxdrddXqOCk3D4Z7NL1845wjf9wWt8b2
jijUZtyy7q3mTemsGHlcMRfoScd+W2zaqwgrzSr0vpSr/iy708bYObvyILbNfe7ffv7UP2S5/vrF
+nCCltQ2zioJl6exov/qt2+VX90pXu1iYfAiD0C4n+/LzeXluO53hsuFPdkzJblPzswAuwFSy9Vr
4H75/Fmpy+r/2bflw+4QxyVuY5NnFe2cVeTO23wT3BUMeEGZXdGwXTUuncqNfa636lcKaevPH3/5
+P714f/8Hn1YbVhqpKmtiHDIc7m2hDjMUnoeern8xaa0rCqfPc6HVceObW0Y5gyRativBvEij1vB
lCjMDZmUVOV//lf9/Rr3x1/18TIp0fvSjDrpzxGYhSm4qcLr/90DfLjzaaPNWEvOBQrXg5pQB3Qs
7/NH+MUb89F4IuWVXVgTX7SyOhMi8ysVHJL9i3flV6/Th8WtVTLUD1bSncflXZkzyCCJ+7/7Oz58
wHo4CX3R5tNZ4AmLzTPwNBeR1OcP8otPl/VhVTKDUJoozrEbjKarO8U6zborTetdC9tBItTzgCbr
84f82/dnsQ6SXsWX+ZFwZ2tgJqu46896/r1J/FTDMGtuPn+Mv3173j3Ghy9NFjqtVEf6eIZPRf3+
Os9/UVX41QN8WBLnNB+1pKyHs8yiTfc/1bJfvEw/9sfPvvjLhvJu24pimj5BxueYuwEC43A/bNMT
VwR3D3N0TSdylf+eXfwfK1YM8n++1ix/9buHJOkOZEWN2KMeKQwXrKo4qlZANp7J6uyG1WXGqsHW
baxzV1nZ19Lqplsvu/rlqb5oe27t4B/WjPptCzfa/Orp/e1G/v7o8uHDaseNkJWAL51ytWzk0qrd
ZPquUNxVutG9h2K1l1fT4TvBLfD999NBrMQvVi91WZ4+e1M+vO+D1JpR7UycJTzMLx7SGtVcOYfM
u3HO5pH5du8Jq8mqoGLrN5tqY7vSL1boXz2FHzSpd2+SBFpML0TVnSGMrUaPymbyaviKZx36t3GL
5vtobaSN9D180txxk15BHHv7/Nv14+L1yatgfficpIOGH7Hgo8mItY86aBUvp7pd6t4Nu3G3i5dD
yxma8IPsl17uVxvrwqya16+jHSTCr9kvVsofF7O/PJ8/v+7Gh6OALTn0hgqWlHqtb8wNqqXRJ194
jA/K6iXcwT5x7V21pah3HF3rfm1zOkD2skn929hbDgn/ORz827rX+MB/2rr/P6dnCHlkfQsi5dPu
9f/93//Eh/nB/+Z/UX4wu6CbJqRVW9aXyvgfbXvGEFSASAYuZUra7/O/1m8MVanU1A0Y5IuB+c+2
vfUb7hD6FURA/rkz7eelnXsL4naV0XNKxYQL1I/jVtS7+jo3J3Ell5cm1NdURr13L8rl9w/m+1wM
z/T9ImIwBWKSU5eNBcTiGPqH3QmkUqr1Fk3KVk/IZH2R5CvHuG71rRKQJmHoeP354xFc+MUjLs/o
3ZqhMrAb03fvr5KKu7o9LUjSqS3VHChD2dKVKO390GEwMFNA1a3pmwmMszqgnL3u8o74Go7Prxgk
1Z2pMYA51fgqlbbUVpodHQ1UlsXitKyQWw5S+t0ZpceCs0qpqDoVIhgfSUhPqqD2S8s+Ynx58WXm
izlTZ+9vF5emwR3SD8k3b4JppDS6ODetxb7JZAOYaDUmyo/UCUGnPQwH7p7lyoqHo4TCswmTeJUH
9jL62Xn6RDWbVksA1ZxAn7YtS+UyRGS8qJAWiOZWKarQEmVor0n3DQAulEhfh1m7jKhFBwvHqIKb
KEY6qlf2PoqNESx6KXypalpMMNOJmtp8a3VMxDEExwjYbQnLamvWFcNiRb2tzUjqrudK5x/0eTOW
V1moHzuS4Gf4dYyw0Ur3iGvXjI3aR5MZFEnPj8yB78aUeRQnoLmQnqfZfIBFAnqM8aqVo6EcVeMX
3ZBfM/Bra2Hop7HS9wGmsSGtjl0g1n0/7dCsXeS5douAiNxIBGIaj70NeL2bc9kNDXFoB/mhRkKj
68z658V8b2QU+4N8Ss9xX1yKtEPAwVjFnO7lMrVWI41k0sNA7uoRvXE7ANHQp2zdJtY9UzdMgkty
6Kt5BbC3Fx10KRViIbDdY4Zfy29t9ZDlr44krvTIvmn7hto+k0GrKOLqXeX7IIsvfSHdiqGgz8Lb
gm5rbccO47ndqxUxcaKYCYBvsXb6vOfaq3g0ezw9ma67vqRiAPjWFPpGNIMvMybSkabLFdkry/IW
//ElD2oUeyPj4l2WDjfjFN2YgbJrgAXblf2I+tylq9LcUQqF8RA33wtt4NPkgM6iQzsDONZRmCjp
8CaL8FD0Jrh5xAGsYDs1x6ysaTEZfQH4NLyggz7pRoJCI9+MsrHOKL72Y3Bo25JYIq3yufOMVjqT
nPNUxpRZKK4nIAFQEECqa3rgw9j5ojftQi7PwfHBTyiMbNqm+BV3TQaBJubCoU3SPm3nO8b/oBll
3TluyttkAAKYEEbrQe+4va0+O33ynFj2qawzkhEJmh/GuifaTwJaTTDY2x/LzL+bns4p8NNNb3Gu
M/r0111v+ck/dj3lN4PpTQN1Bqk0hkx+2vU0BeoHY742d2/MGn9M7FkgycGAU5rGg75Usf7c9VCu
s4eotqUwXkcZ+B9xUGgb/bRH8JtsmYY00VONoOPyVH7eI5xAol1i29VVMcZoEiYTO4UKqCkbi4e4
0ew1AyoKuUfYSVlqkV03ul1tKN8H5NmrMs/FXjDvB5WUdncn99uwDNd0DwjwNOwTZUHHZYHZJVby
TQQN9BAm7Vh5GbvPuqFYW4wXUM+YnAtxsnujATFRC20CDjwfuc3fh2FXunL8ECTaHaru4spaYBrl
gtXoF8CGzPzDPoe5EegAKFPHucbYPa5G7LjQTno/VBHmFphzOZUckmqcfHks1lI73tQ4dsdFtsv0
yXnAb8QYycZYdLyDgcDIam6hPLPUT+WpNVD3hp22SWUngmXcvkyL3heo6rC2ZpS/Gu5fQOO3UI78
aJECO3qzapsm3g34ghUlsliKBLfqhQY5czQdF7/wCF50MQ6PtJq8rFn4X/NNEC5W4sVPbC2m4iwG
AJIjL0bGs3cWm3GC1nhGb5wsnuO4JicWlvFGzDiQ68WGLC1eZGUxJPez5vcok7XFnUzrkKDHklPv
tJukskBsvarIli1+Xb/Yl+PFwxwp7XME4ASQF4ASHVlzslibGSogdWeCfFmMztPidjaRPNulc8Os
Unmpc+VULx5oma4ywSXc0Bzb1M2sqnc67WrsZY5nI5KuFqM0vvQtJtbYM5FNy8tCjpnKD9BQt2V3
EWipuwxcIZrqcvFVK0b84OgYrIvFZR0sVmsHvfWM5nqqp0cV7TUa8a/64sHOteFmWMzYCopsHnmE
y5m9DRb2bAhs8OWViQghoPkAxbbDGPhx0JpvymLfJjip7rC7mF8jKbfW2FQdFGtFW6PbJv/CAalJ
huocDpK1r5bj0/jjJGX9OFVpVS2BhrBf2VvEfjA0mOaW31TjdhmlngwNIlvQPDk6BA2ybJx/Kh6C
7mrVY00SVF16g5fYDoONlEfzvVaVykpXJ+FqlXVr1+ahU6a3LKpTjwj3TRZE4cGch/WcQwqPhKc4
CUUck8wOLezXZK6cXVdar6NlhZzVYMEYaA8hm7TXpLN4iZtTwCnEY8Ch2pcW5llapCjOmKUq54XW
bQMLGid+YsSqRkF/oj8ZfM+q4ELKqPf0vJOvhqhHQ9WD3A3m7FCrhbyeafFvw55gHLk4HKd7kaiM
wpN4TGCRIlHpumOkS2RERWO8yXKQ3pWyXpEdtBmoULKI9Oe/u9OPcXKdwtAnu1P03HbPf7Mz8VPv
diYNpBb1JAATzg/vxR/3MQ1xI0wriJAyTaN3s+S68pti07lkv7IXbORyVfvPPCbobLA4ZKx+xKuX
3M0/iVEbH8oNyz1JZ3NkmyPfzwXQYXv86fayPHiV1RkGRSvBWkBMQtHFFwYEscnV0lUVcUNAxX5K
M3VknUZhNsFntWeUDcNoE2NahjucO456mQvc314AsYhmQlZuW9vaWe+bXbAGFbsVgv/FbLgSxJLp
ij61RgfHmWOWRpC2HbHUW8lp6vo3K4nWwtHW6IKI6CgVy57+YjJcGU5OTKalTF0pzvttUjXbxnEO
LbNmpWr4s4qmjejMSjGGo6mW9xZXPqGSupoaPd5Es/qcNbLPcOpjJA+GbwVBz+AkGb6GAJHL4D+Z
PLPdGyNhXRvtdacy16Yl6zRKbvFqVEAPNYI91XhdwOdatXblC3OB+PPkDpqlEly0BV/MQilWrG9X
jpa9goOuNpNK8CUOMUNKU3CH2pmvOfIeuRASi0lySvWx9GKmuKEpV5kbVRY6oLGcCFTYa2DP+8jo
mF4U2X1nNBKj1oXX2yVmJaYPC9vZw/sIVwRvTk6h3tVRv1G78Zp7nrTul6Ey5jg28mwDZl6GHNXi
eoyI+uq285Qkyg29FtalgBwM/N/cnUztbs7jp7SoPZGxngMfYtwojo86aKWklr9j2jC3pLPBD8X9
tIb+TaIp0K77LnqIEp5/iMUPcMkihK30bW8yZlYVmg5oqn8rk3RHisITIbbDmJQn5luT0wePI48t
jRGn4EQTPUL1vBkbZJGlXXFZ0PpNGNI4qQssEh3hL0+AxSXY1Tmekqf6Ji/7q7K0mesKeN9bBIDK
WJMsrp6UPj52SXxsYifeSQTfXcNkY9RVYkdOO6m4vDXkA121CbTyDDfgSG7H4sjSEj9v47OclE91
Usd+nRE96uMGC1TBvYgnSnKDFmw2bGtFvqhq61aGWMb9QRWE/a4tqvteGjZlWwAqKn2ocmgZ8hia
aTs4a90UgGUyYqa2PDwyKvbWDir66nEj4gp/eVFniyOLnCZ/1WRdSq7gbuoMt3aa+Z28rykEDqdA
iv1JdsiJF1eKUVzUgRCuMV9JPdOUwwSVbDk69n1Dti6aPXUm0WpyvuEDGgeuKUG6r7kKlwW/lIRG
5ZJXzknncBnL5eF7lI6pN+Yamd/lRqSl7bcxYXKqtL9bydiTEK0TN+gdZ6MUxi5SiJrP0LYaQExa
vLILh9S5NHJcHbXAJU4jfEeyuXAzsxmOEaqaIE38fNBfe4NBvT5KX0tteKzn/gVqXkLmiFhcqInL
1CfUAGAruFNndvRS1IHxiL5Qm4MaZt2BtWdh21cWwOe6VqFTdzuj4BLpawxTGvdYLW17EwGf3fR4
2Pku1QWwaWtsZoifuFbXdiHpgFgHVbO3GP4m8vMa8NKzVORTf+vIudLdCqeRtEM/9vSDDSh0j2D1
1eEq7aptGXL4qxJu76We6n4cG+GqBqWtNOFNCwrQ7dJxr+tF7zdSM25syTwY1ggXkCF+wsjmS12W
LcUAE1ZWoj+mEpj+aGCmWJFnc6+VfJjTwk5X/OeU4o3yaxXoz8D5VK+zmaQgGP0dkQYha1B9ELkF
M7HyQH6tY9RkSsfThJp6jB26QpV00ovmWgr6Q26XX4dYADpjGmHEd94qzHCHlZG5rTbuGYQ0ZMGY
pFU9x2l5Yy74xk6FtK2ZCqe5jvi9mpyD1jlKyfSURer3WZH5LaHxPR3yL6BwPGneq9OYeLrBcHLY
3KSYBlBtywzHeiPItsg6yWlGnn4snwk17CKwYZiV6JnVgL1WfBjPppUytWE43EQk6RrwgeoJy5gp
wvQn8i9UrMbA5VWotlZRU0Zhdnmj6QNrO/xdYmAW5iAGFpnIu+tSbzbCB7UBNGITQfciiTuVnTqC
B296jKjOVpvJic4QlD1NxAwi25SZ8rES2MDFsbI7Ar72QKpWsa5iUZz6zII/jDjVYR68zVvOZt2z
6YhpDVr/duLmwwmS21ngsIFAlrsPejQBvSgeyqzcJxJuequfH8lcMyTUmzqfAYCqoGYktym7t9Zx
7lmgfbnKjmkedSs11LY0yO4ZFN1IsTVikZN33Ocug13dOEb5LWajI5wvn3WZcWtcie5Q6MEmmJUG
X02zC6WBLaET4QpkZ8KwebpzjGmZ4S/cxFbrTWvEwo31lqGU/sJJxEcn+WXIlW2V4qvSewYIpl4f
16mMhA++dc2UUUBnJOTfWlxVPLx8m0KSlI1JRXLX8YK6EGuu5KpNGCTs9n3BVbA2nb3VjvcMEcnM
/LMJsmT5UjyHG0kohwyysjsJztYN37RDqKgXU0EVK7VVveoKOd/NKgR48nRQ6LU6cBNLIxkYX6I+
oexbMidSUFNjkWOBM8R2zlW+EoZ9USGvEEPUclKe40tRhg+05WEDWy+EbF9GU/arFktEGj5C1TW9
Du9zkFePcmlvNb25FRTdiGsyuj6lrpxFB7URzyGMm95S35wUaE4fXyOwwSXWybeFvizikuGz1ke/
92b+LQot1JJPjt3xW9P83bGbn/rj2L2Y6CDPwbk1mOH7qSAEwt2g2cEJk5AgSIE/C0LObwDnbMsG
HkLR9ycMCu5WR6F1sUwCMKkKku4fYFD+htPO4CLZRLDvzEKqzsf45axFeaSWsXyl2QTOg3yGRaJ8
LcNXNFUzjrpVg6EqXlRVsXDUo6j4541qXZn4rPq68plYusnwXHESAyshjZs2jR6LxtjUFB20wj5V
iyKrtZ4UU2dWCnfWjEOrM6yWEw3FUjXs76uxuMOKDtbWkTO3rpXOk+PqKcDKZWLnMnAi5Ni65oiL
PvYuVZcgoeDzioxiTSTDctM53rY0dFYJ7i8ltLZikYGRQl6q/U+gOu9nbGGoUx+ZDM2hQ6vfJVa9
uum/MNTDWD+mscaR/BnzWOxwxuQv21QOxjqOVsTDO3OlBex4FuayLgZFIrFIhThPLNxmTTvYnGvt
L7XgYrIgSHfzokITgX5I5IyRdSFtTRFTpiG5CIwO2oZOPOyHUc28EVV/MyFlvs9wrmWLfM0EiB1G
8gMeXAS5oN4qeTyFi7BNhIxJGjjcugFO94jVTcfuBi0KNgO+t0l5BfTxNcQCN9mGYMwAUwP3AIYa
Cd5ntXbKcMdpi0SOQev7H+A/ISOYk6hJd4tybhKDSZFt2ibY6AhwryvsdH3LaxaGCOvE7/K6NFlM
dt3YKdE6QIe5QWBqjAAvYoLneiV3u9K2w3VnORMDSB2chrqUG85tP0Q7bbtId7KhFrukM9SONXrR
8ow/FD25WjKekenACiMq+pXugDetKcpg+CkW1Y+0SH80HaELk/n8PwG4Ym5fmDrUXSetvy+1T47u
iTctGiFrEQqFBiNBczUdLM06S5Fqu51a8TtkzppS9JiN+lNhIygaxuGWAg0CoEVepNfGa4LNiCPD
29xRUR/wHIUm7iIN7CyxXgC7gIOaRYqULHok3Rgu4w9hkpNu9ah5slOj86HbZmsDu9LUQcaqdIAy
yDJeaZgs+Gkx8snh3lDECJrkRdWUhdI5fMoGr8DhVIzJq47WyUDvpEIioUx6MItik5TV9aBxN+VM
fF8tPlUTRRTkFWQn9KtC2XwIFtiZwT+xCbSHc30do5madKk9ivapMAz845NUHmBJzrHHrxoXt50n
0dWibsORXIoYYWtGMKyCwQ/YMjf4CcJdGkWH2SzOc1Ptx6L6blL6xK83cJmtp7R5+bec86OcY1Dd
+J/3lbs+e26Ia3xsry8/9d99Bf4fQAfwWUyGKzRC3zUaGJhnPQe6ZfzArS/dhP+iAc3fIPXBBYQP
+N9Kz3/xWsZvFF2YLKMzASIdafg/2lfsn4ObhmzCeld0mefAWD44rw+NBpBVcl1wEz7PWckgE/iT
ZuLWlqYdgscBvFKTLRdkUMNlcIpRPnuGIrAAFcOFwfOdRadi1RrwFxymTrBAHjhMnSYLPkhJl1iW
09eBS4UrlQMjJxK9rkCoJ2xFDA7IZujm7dLikB/EbH5VW/3RqdFi2ZGj+wEWKzSVs5/pkgSqKWIl
gSSI4qdZxVXyxbCLr9VU3g9RTAG8Q0odmCayz25X0CPpHOkhKABGQbqgJ3ga0ujIuve1Le0ceqZ1
4ab2kkH4xGsI3Imet7lhoSI1VT7lE+OHcEgoSHWc2OpMwB0R95NKmj7shK/rNA7VBC2rLuKMTcZ+
rSOQxoQpj22X3YliJuICXdtI7Rt0pa/ohS8svKgWKIWt5DDp1oEQZ7saHhE7vqCOfgpq9aotixed
gIbbp0247gsBaMnKL2GFA4NhOT0Jv2Yq48ZVZjPAZKaYjavyRSgO52Co0vlEV7hSGVefQDn7cc2Y
EcG/Y9cyC68HzE5k3hxXjT/RPpcbgeTc2S7AHyDSmLiSNytv7jQYWYE2P+bhnHuyxZPkTXJkdE9C
ANtXZSxP6libWO3aU+SM37PEKT1IPZsS56XbNwlqEVl90EPjRu8A79txeqeH6vdeNYfdFC8/bvS9
D5n1MZcAXpURi6Jh+n0Hvijou2TDsvZESiH11aqnim7I6PQwZ3PaMFayzrI3p75sMYpHC29TdxFk
gpQp7b7iXcMWwxyyYXq9TnmohiplAv3fBG11iIO83i/DmXAYmM02xHxjMf0mCsPva71G7RdwVkjR
VMndSM1/bhkO6vnEGZaQXHvmQzy1vIe5WoVr0cy3oNh41MIGQzT4gdzfzra2jwUVO0tFcdXWQeiF
Ga0dQFYvXTk+2tgbQCZW32SlRIZVBm4jxhFKQ0xcoaF9JkVbGe2tJ1m0wWW5ZApMxv0Z98wjSc4W
L84EtNx+y5P6yBUT12mbVGtG0HdmOE2e2tO5C3OsvrVBFKHhbtlRCzG17lvbO5UrNwoa17maL/lo
qge9SJkt5Cgc7jLViTQvTcWDajN2vW6kNoq/8DIE3ZXaWXT7zdjQfBP9aHFnMR9WesxizRpQ+myZ
zbNz6wK6MjYvUw3RR6vH8InZ3nWb8RFaLbzIc8WYddKZyDbZS2Uj3EaWE95GtbzAzYzxGtocKsQ6
xsNiDRpzlTjovNGGsb/rLRlUWR2D4XFplWa51044g0V2XZbmWAMF1dTHVMhyfMpAQrDOZBHtO9N6
kUOQ925qTg1nDDpYDpTQVDfqdRyrVngnd1bWPqnBEHKr12YV3pacm8FXWGqRfpJh4UsrFKx99e81
7Pdcmc7u8T9vl7cw/uOp7P+6YS4/998NE+gki9wChYH0TfSMXfFd/8NSHHCTv1+23m2YOiE2melL
mbI5HX22svf9D8fh+gVDkm1OWdSh/+AihmeL/saf8cal/0FcgBsfMBXd5Kl86H8AB2CIuTHLy9jI
1DkGnQ94pZOx1AWfaQpCw4RYqpcFVzXNkA9yllPbN2Mr3WHYKh/jPGhPLF3jqtW0+jahfrM1xr49
izSoXqtugXlknOajzJpoIisgyyryOvTyqcVf2ibvruqEiV9JNqGtMDRvMxmtsLQXQXFO2SxwekY3
05gZV6ECAFANI7GZ4f7ed/ZkcGKlhS5Yg09dG1k7ZjnBSVu9lPqKgdiKwWLCQFqrvkF4yB4NOSu2
odFy8q2C9nlAcLZGyoCNuXHExkpEcwAGWV0L+pwZmgWfFFnlDWgZkDdIhT68lG0Y6QelCOYJHkGZ
9sApul5600Mnic4oA/qaO1FbNFdWRNXeCpUxuo0Sh2Kb6MEVzNSClm0IzSVQyFCnj4+YEX5escoG
yA8eZ48sPphSQdcCUPD0LRnUGu0JEhQIHeOTKTLtGRa7UTIGaxZ+GJncwHrEWZ0o52fNMJYJYzWW
me3kGhaH+DCDagi/8UmKXbmY5+egjeY3Mx4fG6n2izDeSxat9FyhtCwMfAtSJQAu2Eo/bVKIC1Se
uumYlmPlGUzUE3vISxCNsQhjRpM7jWTcgOWd0tiDbsUkHRzlXqNOtq0k0FyRLIaVYTeMhCeteWsz
R77rJJTzGGvMMwxj2ePy5cgrtTPKu6CVc5oAmfNNYpvaaxnHtmrMr+AkS17TDeNmkIhVrEVW1503
BnH13ZJKTONVUNzQhFwsXhy9QspP3uxYyf1Idf1oJXpyIrSfPEGKKV0xL/y8dC6f5n6UDnx4Q1ez
CnFFkDB4tOdc3BdJQ2ChHAkGxmN1iQa8zAXE/swrdJ254rbVFbSSTtTRtzNaL+SUCR2/MMytOlAF
M2FPZ7g2RqFdE3axOSaVpvJWldXs10scy6HEtuoEo5f/Xl1+70QzovLJWlxmz8XfJIN1furdSkzG
iVlrCxrEh5KY+hvXbhswFySt5T7y59XFBl3O/YTlkb2YsZJ3yWDUhSSrljIbM7HWPwR6cTn5uBJD
Tl/EDjJXK5N88IeZHN3Ok4bS8nRld2FzsRLafxiWrMcy09X9JNL0aVI6y7e7QT6RQgkYDRoicivD
/MVyRHcbyWUG8VVh9XDKYG1JXbMu4joCnSmfsyxyTsMiNTMWvRlYa35+IEDtIWJbSAKESCT6qKM6
wz/vwKcAbkhfYowlgGNF4MkTd6AGXeLXPIrCPanUGY5Rl3gkMvAeke2ixzx9cdTajZYVKsitPYBd
m0VSEodiEbk1pWDGepG7jZl8RUyZ+cI4TV3HrHHi4oIj+8NcvaN1HFqTeWkzJMlbNSlCv+4KgIbz
HNJzq56iMQzWczBgxan2SUlxfUyKdKfOjgA8aamXUAm5ikzo07XG16vi2kCIso7lTtp0Zjjv57DX
9lEkW+tMyw6KVLc7IrmOB+lb36RZoa8HVQ2AWFBio43FhSOvyPuWw/XcJAXGxzbDhWXMGFXhgac2
Vq7QOScaS+8w8epIPXtWLCrNw1eoXLUQybzJEtWujtp9ryZfqVIizsu6YgkOJ2tQHGiU67lzQcRH
a6r/jZdJqewHprJNuCRMUhMixRk2eZdyvZv76nkow+Q0dvqblJYyJ70Q/KRB2kaQQyCEfGtq1nVu
hRrj3uNGHbIvKuUi56g7HcVVFTtfrVxK1f4ih61FFzneVdx6RlZhcPNwSyoexzRTaqeDHp7alr6o
VeSHVlPeDKPsoXyI24E4HqE9rhKpXOirPJevrNDZcv/ecOY9JqNzAg69iRQSwXMWIq0OOFIHiT+H
8VU+c30wu9x3dAgtszGdDLqSVSrdU55m/x91JFw4JeY++JqrzTdNAOZ0IvtltGDLGdN97bC/YQJk
8qJqIRgUEL7OdUoszFU1s3/R7YVMqhnwaoNyPDqCPZ8kYJweFe4nPZwKuk+VE2iehUP4GJpqvPt3
Mf59MWY66rPFmJTb3/Un+Kk/FmMVFvvSAKA/Yf1oJ7w/FoPaJMmKjoYjKQGfP+pINqlUlVTG/2fv
PJriyNY0/Fc6Zp+K9GYxEzGVZXEFCOQ2GQhQeu/z189zMN0gSpqrKRY1EZe7uNFCOpV18pjPvEZH
1YdI5qW6IocxjQnGopRO3Yc49g/CYrrZrw5jsK8yqo8gk2yZ2NhGZJHfvyA1xFmBvpocyVskTllA
hlhLmlhVVdQuOp0oSE69eC15DS1DxfnkNV0w80CjzA3D+t6kyUcL6dAZGo7ztmlknPjC78iibequ
PMG0Ds00PLxBQ6JOa3YNREXlW28N/qpW+/o4LctN2RGUTOFWa6RNytldx+NMqWqqKR4Wft1Ih9Sq
7XUWRouJsNHCW77pzZysezqPzdYTQliXqtZ8pfsrUcHNLsZYUtgq0pUUINTsdZQ2sLwl3TePk+hL
Eo7fep8aVWREl3WFbkNV1i663MepXIKsxUx0zHP1VC70bRBOaBwpeF3A6uiy9tiuvbvC6Y9DlbIX
0JcLfSg7wiEPjXA6lr4qfQWKt6D6rNwAdRWOtPZ8qqtPoSrf+aCdKP1opWsmyfVgSSAhsIfI8UqN
Y/t0TPxgofAdPDk+Dafipo7QBOu8OFxgkYiok1qijm54wF3BAlV2es3duIVp8w1JZHomlnoy2OWq
0eN85qBKi3SOsrRrHzleYxuryBNRO1m3vQLTfUIK0XSWbW+c4qy7khsbN0A7ukCIV6eHPJzY9UQh
20Ymwyu+hIGhuUTn9Bmc+FNZk99QZ/xiTP0x7sAVWs3pj9yuTlVF80+CGHRtQIMha0zU91pUYRp1
XXvUzevSv1KTaiMXARUBq3GOepNqA25Cd5lvffS9cdXG/bBI8/RozNUHbsn9oBeiIg6ZpvnMn62z
HBix3tk2QDD0F4OoOQdXlZw4Q3plnuQK5TXHouNLXZbigBfQcq9/0N5aR1a1Mrl13Kat/CV/8VRp
y0WRoxAnx12HvE39UemqVWTEX/VRWTk+h3JhG4DOqKA1OWo5WZZetFEwLss6XuoNjGUu58UYoIqH
eJZNn6yiH5dQMUmFOseorVQ/P44NHe9DKBgxAYke90dRgLJIUMH8w9YDtsVxAwwcxfnQGm9bP68+
BxDIcUZykNs388y6VAtYwD66yKl0IdPwu0S9iPaDMoTLRpOXSMSb6D55P2J/uPcMR0YADIyeXFpH
VjZ8qs3qexOTrxV5fsG9tZKC+EIBqo1guuGCQJwXAxZNmtVhYSxXSxvxFmSrdL4cWvsWUFZtiNZ5
M+iLwCNtdhJrcqOupnEWpnMqZEvNHG8oTc3LYfhme0RZznjNi0ZCJZIoHkonWRmsgljaZEiDmrHi
+lGCrKK3jtA8je0MKW14R6M+HWlF81kpK7TP0WdSUdnpUnIKLSS3CcsYZI2Kkre16sExpUXKC/nU
VNFqHNoldBu3w/0ulDxsoTMLIbx6HoTOlzRCIqiugpMOA7A54Ct8IlKznU1xtiYrO6NbdltDfZHx
CBwHC0t6AiStGE+RN9r0FWlfqspgj/qed4vyJ9XPtq5u26rbgn2e15F+JYc+0JmxOplii1IdbVM9
ZhfKoAzLQXGWWOZ+NFrvHt1CVmdHYkgF260RF6SZOrhSCZ9JS889eeqwSggRoATGb4edG+jtaW9l
x4MEkTiNE1f3bTTD2llj2muA5eA05ZVjtefApT7LarHxdISJOuK9OEo4/4ZMQlgsv9QQo3PDqdrq
Mk1IP1qLIn0RdmeeOV0BR0L7sbnw1PaoKjtE3+kbD/QWp0ldmma10CRlA2Spm1PpnjiFtaVjNMek
2EubUoHrADYuC/k76hwoXqrtNy3En5RahbZBifZcwZi78P0LZbJPHHvskHwEyGZO/ZFsxvgMg+FG
W5MWtBQ6G8032pUTDOdaIi3jZDxXHfuHpk4A1op5DRysrmwJyBXGZj3WRGNTnDeWfU3/I3BTw2jd
ITWcxRCpyZdY80bkZ7sfUd3ijCF/StqMjmh+EjjQmBAhv2wnFVxj9cPwkUlsleIsGGDiRtN1rKio
0XXxJ07gRZ0ZF5XkUa6Wna+SWX0eyuG4T6l/121qgSin36kADokR+x8o3sBv0puGY1wfN14JkhzE
ZImTolnX8acukXpA5+BGl9LU9K492ItEDjegRiMEx1Jqp3lwp3daOx+7fEC4UrlxpmmrVEjZEi5Q
mkbdCihbNPO08ofVEJM6DZT20OK4hPM3hwPxOY/U8zxVL8Hq4tyd6+jJ1bdAJeYNapWWNG5rE4Mi
lfOrQusTclR2PYzSp2LIr5KQNmqfafMiCamNwODsYkyV0C6EB0acn7RRe1EBslwY4IjXuvAcNb0u
xcNawYD+fyHTqyIXfFW1s0x6ZrJqYlpD6U7ESC/DExzpFH10NGerfExnX4xld166KGm6zs3VZX2K
GP8id5t1eEJDYB6s82VwRIk6Og0epRD+DcARtNnfBLjNDZ3x5Katd9R++Zd/B7nyB8JYC2Ue1Xyy
cfy79ktZmF8RzBqaMESj7PrcLBWRLFqSmKWBl6ZXxK+em6VwkYmaaW4LJxBLNf+IlYX/2s+rCK8j
mUewWS2k+jKP/nIVYX+gxdWQ5NuWmG06xZ3RiM7orkbqoiGEPedu6RoXj5kzoyjPW3IvnerrolLT
q05JyDeV9KRUq69wMY+SOrsM03DeSCrmL5F3ahvGKTsndjOrX/laR6Oqjk8oB36eouzeCethlndq
3dPPyC8Mf1oqKVzeAM3GFinEuapDRUya6JTqKuLFNgK0Wpcp31WMSDAE9pMlAty2siErqMIjXFQa
fxUrEtwUuXNMKLuFFiHUI4Hun5novlqhla5KyzkyE9RsrzSvgXrkpX3UIudNTfekisL6a9R7AMuR
IFCXXdtFE0FRdGzVmYl5t2PUICArQ5o7tV1BLsqsDr3+ypfLRUqN35+Bq/je4kg365Pss1Vw7NLj
wn8MB+4iNG8KDw86qy+Hi8hO+iX1j1PqK6Wr1o0+I/ZblJOHShS4/9zDsFr2PknVtGks6bIDYJl1
/QZSz7yTcCHoja3TmbSWC9OtEhUEe3hTgKtIWsKSvGlPUeaj+iwVa1tEYZWjXHattDEVvH298swW
NjBaNUulfo0JMPFmuqZ1fuI7KL2qw1mbV9/lsb50gmStRuY1mGtCD2vtKf7WxI96VibFx6QA6JKF
86SQV71RX1YNeNEBdI2pf06577HTunHsGgXgnjZZqqnYUv7IsETWE/NM69sFEGpY0JOr5PWpF9bn
Ttx8rWqsV1p7XkgKZtnB2ZSnWxtnG0hrZxks9npQP099ftqp0UzHC5l3CeYYTHUQnEUeptqaczxp
9ECb5ohMZgW/+JtqREvAVKcFnUM/R11avHrfgrNRKW6YKivbHE5Qi2wEEOyspW82ltFZZaoXuDi7
zSRdG4G2oTPMG0Z6FOeqTY2OIupJM8cr72GNkRskn0ljrnM5wJVYWnqFcYIX2VJtU9DzHYDzUTnp
dVyAeAjXyRQ8QJQTr5uOoKa4VdCc+BZXX8gNOgSbvIa4iJfRfWWpyAQOl9UYY2bud8YFZOJVaPbB
menpuOGp6bZKUMEkBiop9qs5ppmiYzMzhnIrm8ZJr7CkWkffJBDW3NLsKbHUzt3ooy01pFCsNCJI
/2IoG3M+AD/qcKuaa2X5rYlGlp9mzovCW5HNjUtJ876BnT/tnSFY2ml7hdkfMZBG1qM3NSKcE25Q
JM4zBDwsVwqAXRedlC3UQDn1dP1Sr0g7YaPDNBh441TPz6NCWtU67vZgZtcFkbAr1Va0JDg8baJ2
FXtgjwiNZfKlBauDt6VSIXTa+ryEK+9men0MQADJmrGGB46vsoeNQCmtFEgqqVmeFaoazvoyvS30
lJcxSRCja9y8vZHJaswLI7E3eRNpc8zHEAOIvXjmTTj+SUDwchkeIP169AXC4gSlcQgVhC80K740
QFlmo5qCYEuns1bRToc4vDM1MkHJVtdegfD0EAYY2EbdpZmpnzBVO5K4gW2pTZbJmNG8DvtTMCzA
u3ROACyvCtcpsnaull47g/1QLqN2PMmhj9LwDrdxXF53Zmu6WBFe+abBesdIIZMat8PYxkuYGpit
aPNX0TWBdOY6oXB/NKT+ZEJh9jgwiCn/Xdx6BEn9ttPwtf2+o7RlvO4z0LylckXpyFQeLFJf3PoE
AjKq3dS3xPX/z63vfDA1h3qYCOqeYoXnW9/+gGkgUF5+xT2t0yf+g9KWJv8MkeIzaGSYApCFpiT9
kNe3ftJUjTzkg7xtovwLZCNjZcaadKziITAD+1VQLO9zkUU5Z0OM/0EOexjBT/2oyg0IPxk8jFB3
jJOqgmyp2zHKA7256vr2Y2IPxWk1Sex7WZ819q2CngPpak9lv/Xmk9lvHM9ehlYhz9EaWLU1AgiZ
M6au1evXfVat9TDIrkrfb12/KG5NhGzztriuFL1wOarCmemXt8noxPO81jM43P16KIYBK648yC5k
zV4pka6fS5p57EFPWjS97LlpLyENiWMfTnwl5efmxmr9Wy+1scMaoZP6WL5u4OmkwEWlyyaxk3MH
mu4sNdlCCFGT2+JqP/dCU3d9CbpT5o3n9G2xznO0uzo0L7DXO7ObEJ5tEH8JVe2qyZ1iLkXqfREb
w8Kb/OsKLEtIm6GFbzRLJ2VNCnQHnCwD4xig3g+hTqZHiT1YmvnH0eRcKRFUHkO40lWqfFVYkTqb
eAlNUDRu4nlYszZ4ubY1PipW/YXuMtk8Qr1A/SEn6fK5negKNiDhReh0ClwnhMePxhE7Do6fHzI4
Shk8pT2Fx50AWGpRfdmaFKMGQ6b5X6W1a4HHjMwEjFqRzK2JkidqIZRLMkeFAO5guB3Dza7SRZjV
9tZRi3GVoNQy60xMEiHDI+9V3atlJ8+cyfIvpBZtjyk0bh0aBmflqP5IqOKbAL1pXwSR6pwlAU0O
iBEcwjGC4oi7xssMCMyRH+fbIK04NRN720s5rEmTjrE/5jircBTXCki3Sj2jvYokBhcClrRQ45U2
J8k0EEQeOsp3SvvNLIJPcRy3CC4gTa4G2RyUDPOGrfgsyaJ8Rn3vkwWcWPHy7yk0ac52/UjPpAvF
Ln7oAflwMKxatErcLDYrV24qbWMm5aYw06OhMdB11rajEm/BgwnLWMoxch59lnvv2kilet3EGNkG
knVdNT7eD4p64hUquvE2ThplmUbgLOTLdGyO5D5clXF0GYb+wmyTr71cfadvlyMVAu90rLszu4rb
eWVCoMvl7NSwmVxDl466REOlSvZSPMPHGDSvdQJb/tbGuWVeN+PnQlOBdCiIbNbgnbA4xnoBm4PY
m2SCGPmsT/rvAXO9MLXCczMzLAE+Fl+0rDh1SPpNO19G4ClQ+PduGxlDwQroo5T0JToneU7jqcU3
IS7d0cGUIxuNu0bUUksQ6qkdnZRepbphkdIwUlVU6OtvdlQeU5S9VuLpk4KHB8+H+oOOtkHvnFZD
lsx54Lk/dT0C8zFixSDM2km+rB3t29g4xRYIRYKgjzQcSfEobfK0r+YZeJMuRigBYEZQxJe2mRlu
kRIDUI/06o1nMcpUBcY6tfQF1j3tPNKkZJOm6kUkqxh/gpUBoVfT4Mut2EVSEsKPnXSu6ltbih9U
q3q8Or0gQZPeJ56HUTvzDPkWWvCTVOO/c2yhpPbrHPvqPrjZ1UQS/+rv/FoY+qqqQdeey/TB6fbv
m1Zwy+nzC7URqC6CUPOUX0MgJx8n5yXvJZV+gDA/37TOB1AwOLCBvRIN/T+7aQ1FaAa+qtIgQ2YI
0owQ/TIfrvuX+XWWULtJeIxt5wRxzRrTrn1DXkdZJh21iY8UlD65hiCjeV27GfpRmVGeMhdK5xw1
Rmy6BRyepR/hiCLl5aqNUq5LBYxubqaLqC1ufXVQFDBFyACBM81baa5J7aeapOhyTKN+ZVamhxTC
aG6iwUIIA0OtwuqqU5ps7czwVQSBLeV749U/ZLCq66LPzio1UtDdyOt4AbvwclSGCxht5kUJsN/1
496eg6FCcA8EFmBCIWgCFhMvisLhwkwX9hAvI7+V1kpkeYsIxYeZ3YZ3SqYO7bzuIPY0BMUU/ahG
+8XkzRoN/fXYy5Stp3IAD23GnwVOtraw6JkVfPwUAj+tLBmWmwOcdaKjMKs0wbnTepglHhsygBSg
rpuKtIk28E2D28Wx6XsFB1xnwJCLLnOjFoWG404iMqlMDXX/tBxXkwijq7aCAUsHpApMbyHb0nUx
1R+dqiIlke2NUU7nVR+Pc1oCn7XSus2r/KykPDerlOBIsY1zo/Gu/A4Do57Dp4udH1Whb+TWOaVi
gEZJLZmukunWCh+QL1GfHJlZ+HWIGkx2HenH4Nu4fjQgnJPum5E590VmlRtFpxcUZY0NAZpp4Vgn
rwr84CQMexIuzIG+qVl+bo/Rp1i20lmfUq1OMqINUBwkP1SkCRfqz+Cav5Leurmu5osYWyXK3GHg
onjwKdeceJnKyKaBS/XntTxc5bz65IFYHHbY2meTgvwVkmCur7fnhWAiA4CNFgR+t3rRfKH/f5fC
R1p6mnJXCB4zTsvNUeapFF7gOPtUSJam4D3jZuTz8SqXJ7hW/FEEQToUXOlC1zaSYE/74F9czc7Z
CFCrRyjWOlRrTXCuHa+3FkpUx/PWrH/Qxzd5WhE12nLhFoK3HU7WzAw8dL2QQ4A3yx7xhjyhyAvj
21NKl1KSNushg/sdjZ3AHrYaNHEVujjNgK0Z2xuJ6nurcgfMvf7UYUz87z4WgnFuQj2PU/Oz5aRb
NAHAqWvROPegqccYGGB3dl9nzRcsR9AFG8Cu5FHhLGrLqdzcQQuviZCYiYtTVW1XtZRe1xDj49I/
aejUrBUo8yFmwCoUer3t4XoJVn01DNs0UakOyMnXAAa+YQImNOXe2kSldaI66VkIWz8RtH1bEPjz
OJ6Aa0Dq9wPo/XD8w00L41+F+a+gAJAIKQCbNHpmog6gW8bntqq3qpANCIDmzAchJYDvBB5xQl4g
EEIDUtusfGosM8ecaMYAR+pN7/Mk5AnKApmMCUj6JKQL6LkhF94k8wJlA2+q7kshdUAZHWSgo65B
pkxk6AgiOEyr26GRoKKV0PS07jQhn0AnWseBozLXMdoK0E6OdbQWwiBAH07ILyToMMjoMUymduWh
ioBzG1INJY4VqO0pl9itg+uDAe5r2YUqBB5oqcAQaleUbkb0EmwPR4DuokIVwkMdogtqeFRCLgIF
vlAISHhWepGgKDFYoXQUoDERCrEJcPNHJuoTnZ8guDCohhuVSeKaWR8vEiFXMcnBKabKQOrBl8yl
KvnhT95VWYC5GRXaBZoQvhiC6K4q6H/kwGZlIY4BQEklskIwoyedWDdoaFiC5TuV08Uo5DUkIbQR
AycfUH9rhQIHShx4DnZAmaojlLwCboHAh7GIcIdGr9hNTMTwUNn7kkKIanz5pqyHEDAPwh82CiBm
m16rKIJMFpJ2YEMXeqcvKzRDutw+hkIB7c7D/49FBDaS2imczdVoKbcTyiOGz5k9UJM04X2VSnVP
j+O0QasEF5+FJcRL6rF1ofZ8zbEGx3ybiIi6EMI/awvdE9lvlnrHIsBrmpO7QFcRWjlwhASraOsK
ycVTor37uOGgDDUzXyBlhR83kOMGzRXqOGQktbOtHEjRKrosUBgIPhMqxZbgE3cq6Qnt48qgU21a
Ex7so3/D3Vkt8jBocY4Y8wVsJnNr25K9Ajarrqq6+hLGykcjaxMX8Ni1YjVfIxy8ZhXnwqxGdGWW
WAUWCYOCoor9HQ7msKqcasnzfa8iPOEzO7+r0SPC2RgJogyw/VkWR8bco0zOnQfqgd/1BTaKDs1I
WIu0w6R84aTtnScwVbJV3mlBto0ip3Y9yaOD23mnSkH7VffHYOnkFFx9wF0YKrbEww0nmGcbCKfL
7LIiRFwFGbW89dejAV7M4pyEr4CuTPZxzKdgFUrRt9jCCA9QKkxbxOs93KkjFIVpzH9UjEJxy442
+CRZm6IJuIozHeU1QiMXybERUQyl3jqYvvlj+gPfiJz6bb8dsMeb1ZJ/Imshraam+GFLGZIEuvO1
z6nXSiV+TEhb3cSBYdDblL7ImCpfVHZ2ymleO96pDqgiCClLYewGLx67Zac8y5Mkp1FfhTJM0IiW
wwSl3imDR1Xtf8fRQmzv13H0VzQU3napxL95EUUDd3JsxGsApSKH8IKhAC5WVWXkmcDMAtN6Ua+i
KEXgDTpLlKZgERD7PkfR9gdN0QSc1oal8EB5+IN6FYHyz1E017ips0fBV6u29bNCU1OBxk/UCLfI
BnIe8hNoflVXjZoGbqRCFJuULL8KaUjB7UnTj3Xr4TkrK8ARJk9xlZa7CTxsMyt17QwEMNaUCW3Z
0YruNdzeIeXK5nFQdt+dti+u8pEsNy6T4dzx/cIlNbVcp/XyK73uTisZNk6ToSoTBihi+CXq5X3m
X4JWyFYtZnQLv/OUea0o15R4knUCJGEVOdqKVtBGG+0rv2xRtdYjdU5LKtwm4ZC6MOQwijX7tdPb
n7JJDa9LnQZHQG1q2UxO60ox1kQKU7BFtd1bDnLjrMEmiJY6+uBN6qTrvrCceeJrzhrLNEykfFDD
6HfC5IjIGNr0pCXWjR1QWIgmzpq8dZ3cQGY0oArU6ovY8uWF6ndHcSUdcyd8YjZP85z4WW7wpMq5
PyiOB9+MTgfP4tC46/PPfhl/FsIUiyLwwcb64cdGJzEGoABVOVMs1/T9dTx15Voy03vND5LZkJlH
JkqznO2kEI4R4ZNFWXwZeL1Mt336youOgAMXH3PJO9MhP1CfWmsegYReaHfeWJ8jSdSdIGSDZGKD
W1HZ22eIa3BEetOZkfNKm2KY07YhYNO+0+KiWRTfSh5mhXkQHMXJsDV7TkqO9wYDPID4Uq9uUGvG
QqiF8dz7zhZVssZVU4FMADg1pCCqcBWYGUrwtfCnC12HX19a6HAMk4TGJJ0Z1sfgmnYZ21tthL71
XTTux40FVXFhoaEHeXwiakEIZ54Y3F+BZdxLQKXC1oadL42gPjyiECcyCEySow6h2JllkE+oqXKi
WbQgEqGD48kK/HTDDlejEYPqpgeFCKF6WRlGRx+gwizJj29LFUTsGITjIkS2Z5FHzpI6I/TCeGKS
w9rb4C2C5L8B3qhng7uYDa41v7hMsmxgZeubwXZq6BypfJUFHoRtHfHoPEP8zMABEwOgdK56vTvp
coZYrHc/juo6lGxjExvGVdV4JCZZ4yJD7VKAPtNrxGV73QCY1LfyzErMjWRX+tZqRrI9eCFuoYQm
0A39YxdTQfIa44TmCO0QRBxdWTKOKpg4R8qYH5d6omzKPOQtNZjraF9qxdtKvb+E0DEsIa8i2FaF
AD/SCtlnrlmu0rldJt+DxFjaecFWZ5sUAnqtYmFZgMUeBCg7lix7DqxD2QY9UA5PgLe5h+DBU92G
ueeddaWUY2Rpgl1zJuJRGnoaXRZQncPFqNRIHiBreVSOE0bCAjgul42+sOtcX42+B6xcAMyLMjtG
XgHvYQE+RzFsOiojRVrpApqel8WFKRFiTKDWkTz+Ukipdq5G2Pdx+qEXRsXdDUC7S9B0fQF/N8HB
l1bk/6hBxjsB2/jCAi2Phxe4eagq5CEP18b/g/vz6RHnN83N4kH5/aK9r8bL+xpmZv18tYjfnue4
SF/l/7e/9PuBnkjxV2Nx/5//cXOHBuw8rJsqvG24E+9/0qN/o5r48GAPT/3bcZIbdO3bOz6BIhVQ
ZspaGsUo8cOnJDlcrMdfSwoy9xo8fFQTH7tVL+boV7Pw+y/4OJ2//zu/ffifJ0H5OSz540nQnA8y
iYMlIw/zq0mAmqOAET+ISXi5EGDRgLZ5FZb9K9+ft/z3GtCQZ6a0Cf3Tefz6YNRfrQEEFxAZw+aP
yO3h5+WG/t1++P1bfueVgLz0/2UmxIJ/ORXgk2xiQ+3xmxJtvpoKtoMKmMoSYCkm/fB2g/a4Qh/t
cv5+N39yJLAcCITpKVNNfvx5Owc6jhKG/eSjcXiToPxc8f9XtsSrhcC5KJrqui6OvdcrQP+A5yDy
I7A/Hn4OdCGIdvwfHwuv5kCzP5AK0bk3xNbiB9jeq6ngXIBKiKa78M45yN0g9Hz3ngRUhVWFPs0v
7gb5AwgMR7DaD3QSRLtoz0nQUXJTYabq3DY7V4L9QSVzhi71OEvcIIe5Hh4fbJ/TkaKDKFKoNmv+
1W5QOTKoqBJDPF6jBzsHj1fXPnOAAJPCgqcas3s5oEUBaQ7Ij3qwk/B4Yu03CarY9hyPvzgYhLaG
TTVJqHQc5G4QYLI9DwbnA0GhQavkV6cjK4Go2SbFONBJEMpie06ChlSZDJXUfFwIwmzr1cmAlhkm
woDqrMcA9fACJiFftuckwCagqusga/CLM0EVnAJIuMoj5eHwJuGNaN0fR42a+UHTZDzcnq6AtyvB
+QBhChqEKH4f5JkgzBH2XAka4Bbwo8gQ7V4JbAfIKLJjiuk5yEkQkhj7TQLGEha9CksVe0L8vEkk
9Q8qRQcSyUPNJOX9w0b7g4XuL/2IxzkQ+fmrg1GETEJGETmoh6PzYNfD/psCZUpUJ7kpn0ooP0+F
yKVsWuocDQe6KZ7CmD1CJrEp0IKmlPi8IH5eDyrgdANTyYONFpT940buCJJJlKqfcqkdKwEiHxrY
T3nb4V2UQptov+ORiqtBu1fB4/DtEkBzDvm4p9v48L69sn/AqHLsYS5EzfkxYiQYeHUuKsYHdgGH
BYmm+DnUc/ENIuDPIyZqTBaizeSSP80BOSS/sKCNHOq3V/ZPpHE/RCJMBfLwdEP+NAmK/YH7wjQJ
GQ/0VlD2r7AZZEcPxYSn/In3/Xo30J4hjILh9BiRHOCRsH+8CFicOiswlscTQRQuX00CoZIpBInA
nx/oSnhDZf/zw8DiO8KjNsxf9eFwlABqL6TzDnQSnpLbPYIkckjqzVx/1lNd6eftwEogPoKfhzXG
YaZPTw+2zySg/i5EuwwojA8/vO/X2wGLdU1hM4imxEHmkOr+/RcL6QYUHwmYHw+Fn1cCOYNjQjxB
w/Fxlg50Kt4QcP74ZKAdRyxk0oT4Rfok+rKarlBzfpyrQ40Zngri+2wNUXLldVtohD78/LwqVI3K
goW+qKg5HObW2D9woqIq40CNbecvzgfuU5uqtALOUvwc7HrYv/BqEkETQ2vyUwn+TeSgfEDchQL8
wWIWhOjhfvkklQXdeTDjMB/Xw5u0EpwTqug6UeSBbgp9//tCB0SNjDvV18dJ2FVZcKCUKjSlHn4O
dCrU/Yss9KOBJfx9PLwpv3J1qvAlaVsdahD1hLfb56ZgEhBv0qkkPZyBb3MKLk1SCpkA40BXwht/
uj+OHESlCSEM0DqPF8HbSZA/8Eu2jf0Ybx/sTbF/OZ41j943XOCnzGLHTQHhReeUfMxnDy/RVvev
PCLti+AuPYcnsOOuSRAOUajuHPQhKZwM97s02RoOCjC0Z57uC1bY6yRL/kDBAYsr7WB7EvtHkqTb
FomDrDzdiTsyTcA+ACIPdlNo+08C5gNIFFBUeEok36wEEV+J/1GnO+RwWts7kqT8gvS3gDf9oj1D
XRonURls6KEektr+4RMYV6BLMO6eCnE/H5K08FUCBw7SAw0cnk6sfaInmjRoKxg0an46FvnyCowJ
ZudpiRzqHOwfMVCGYwp0fHh/EUEqrANamY5z2MGTsLza87I0iJVVk/CIq+DpCPz5sqRAJYN5PNg9
sX/w9FCRhE33vPLf3BNkFCoir44wEjvI2tPTg+1zMFB7AgIMzvdXtSflg4B4EUcfbNi0d78KbgCX
JKxN6k67twPoV90hpzrYa1Iwyfc8E+wPTwLJvyq9PdwhKCAKsPhhbof9zwTq0ZqqwpB4yiJ+vi4J
mEyxVg43qzQeD6s9zgRBF6I9zV35lEXsOBhFoYXK26EejE+I1D0mAeKYYxMW8qZ/cSYImXJVUeyn
gu/h1ReM9widRTVJw8PtsXzw83YQlUfc4TCQfoxJ/qVJ+Bf+0t8EZTcIk7sHajJ6ULsYzL/6C89s
zbe/f0E8fuCbvvqbgqr8+OGPzFzx3//1mrn8wJN88dtn3uTDJz39+6ev+PbDX33Y8/d6/sN1eF/d
VLcIYj5Qo58e9Owmhdv83wn/d3fzki1LIVQTzbPnP9tNs/77Vvj96Mjf3D8PtLn7z/8Qg4sw+PnP
9hk8vbnLq+eBXgzO6fHPPL4liP9LTz5Dk3zXg1NG2Hts9ya56Xgl9fNYL56dJHL/8fOkrd+8Umad
jfsOg2dNdfOXm9fNro8gmtv7I+b3yV9nebVz/gnK9h5/kfw1zysWz/NYL+afO2nv8ZcVGnO7Bucw
23vwVXKfZc/jvHjw99iu6zb9nid3zdvhBVl470ffpMV9Fd4kz0P98/QCLrr/8Nm4Y9IFAHHvoY/v
qx1zLtqk+w8dZv6Og0BgqPce++Qm3nGGCfD8Owxd1/e75uQ9NuhJXv/135l/n9zvmpn32KKnN3cc
wM/z8GIhvscWPb2pwl1T8x5bVIxd5LtOd4Gl2vu1nt5nd/ltuOv0Eqicdxi/ur2/ex7on3kXBJ/9
B8959udxXoz9Htv0NN85J++xSxm6ua/uxx1P/h479eym2LHQRed87wk/u+9u3saO2DO/xxbdVjcc
Ac9P+eJ1vscWPU9ubu93xI6iLrn3tJwnbboruBPdyL0HvwwJHevwbsfMCJbu3uN/vLmtSAmyZsdd
Kppo7/AB2V+z+yzc+QHvsVU/3ogPqLKb6m7nQSZaP+/yLebhvb9rlt5j14ovsWQH3Ib17a7PeI/t
Kz7jKL8p2123lfYee1h8wkkb1n9tv4d1set7vMdmFp9yetPc7xr/PfYz4zc3f81uqu83u2IGAUp7
j/XEZ7jJ7k94n40tvgVmGtPz4/5zpurvsrGDm505oRBg239+qGHsnPx32cxhHYdj3j4/54uJeZe9
nCc3u6IHUfXff2IITHZZM4jK/f6D/2/eig8FpT1qOB9FmWXHPay/x779rWvFvk9+RYwfNjuCNlEo
33vir1pOgh1XvCB8vsPgFIjSXXU5Ud/ee/hPjNDu2quicLz36L+RUN73lf7GTez3Q+8qy/6te/e2
WPus6bfrn72uRYu/cZvc31T/9T8AAAD//w==</cx:binary>
              </cx:geoCache>
            </cx:geography>
          </cx:layoutPr>
          <cx:valueColors>
            <cx:minColor>
              <a:schemeClr val="accent6">
                <a:lumMod val="20000"/>
                <a:lumOff val="80000"/>
              </a:schemeClr>
            </cx:minColor>
            <cx:maxColor>
              <a:srgbClr val="002060"/>
            </cx:maxColor>
          </cx:valueColors>
        </cx:series>
      </cx:plotAreaRegion>
    </cx:plotArea>
  </cx:chart>
  <cx:spPr>
    <a:solidFill>
      <a:schemeClr val="bg1">
        <a:lumMod val="95000"/>
      </a:schemeClr>
    </a:solidFill>
    <a:ln>
      <a:solidFill>
        <a:schemeClr val="bg1">
          <a:lumMod val="8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28575</xdr:rowOff>
    </xdr:from>
    <xdr:to>
      <xdr:col>26</xdr:col>
      <xdr:colOff>0</xdr:colOff>
      <xdr:row>1</xdr:row>
      <xdr:rowOff>161925</xdr:rowOff>
    </xdr:to>
    <xdr:sp macro="" textlink="">
      <xdr:nvSpPr>
        <xdr:cNvPr id="74" name="Rectangle 73">
          <a:extLst>
            <a:ext uri="{FF2B5EF4-FFF2-40B4-BE49-F238E27FC236}">
              <a16:creationId xmlns:a16="http://schemas.microsoft.com/office/drawing/2014/main" id="{93C6D99C-F864-DE9A-07CF-7E72B2CF175B}"/>
            </a:ext>
          </a:extLst>
        </xdr:cNvPr>
        <xdr:cNvSpPr>
          <a:spLocks noChangeAspect="1"/>
        </xdr:cNvSpPr>
      </xdr:nvSpPr>
      <xdr:spPr>
        <a:xfrm>
          <a:off x="0" y="28575"/>
          <a:ext cx="15721853" cy="861732"/>
        </a:xfrm>
        <a:prstGeom prst="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noFill/>
          </a:endParaRPr>
        </a:p>
      </xdr:txBody>
    </xdr:sp>
    <xdr:clientData/>
  </xdr:twoCellAnchor>
  <xdr:twoCellAnchor editAs="absolute">
    <xdr:from>
      <xdr:col>2</xdr:col>
      <xdr:colOff>150896</xdr:colOff>
      <xdr:row>2</xdr:row>
      <xdr:rowOff>5471</xdr:rowOff>
    </xdr:from>
    <xdr:to>
      <xdr:col>25</xdr:col>
      <xdr:colOff>600075</xdr:colOff>
      <xdr:row>42</xdr:row>
      <xdr:rowOff>0</xdr:rowOff>
    </xdr:to>
    <xdr:sp macro="" textlink="">
      <xdr:nvSpPr>
        <xdr:cNvPr id="3" name="Rectangle 2">
          <a:extLst>
            <a:ext uri="{FF2B5EF4-FFF2-40B4-BE49-F238E27FC236}">
              <a16:creationId xmlns:a16="http://schemas.microsoft.com/office/drawing/2014/main" id="{F8C2AA0B-44AC-4E38-8D7A-ED41D0615C4B}"/>
            </a:ext>
          </a:extLst>
        </xdr:cNvPr>
        <xdr:cNvSpPr>
          <a:spLocks noChangeAspect="1"/>
        </xdr:cNvSpPr>
      </xdr:nvSpPr>
      <xdr:spPr>
        <a:xfrm>
          <a:off x="1732046" y="919871"/>
          <a:ext cx="14079454" cy="7614529"/>
        </a:xfrm>
        <a:prstGeom prst="rect">
          <a:avLst/>
        </a:prstGeom>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10800000" scaled="1"/>
          <a:tileRect/>
        </a:gra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1</xdr:row>
      <xdr:rowOff>182394</xdr:rowOff>
    </xdr:from>
    <xdr:to>
      <xdr:col>3</xdr:col>
      <xdr:colOff>9524</xdr:colOff>
      <xdr:row>42</xdr:row>
      <xdr:rowOff>0</xdr:rowOff>
    </xdr:to>
    <xdr:sp macro="" textlink="">
      <xdr:nvSpPr>
        <xdr:cNvPr id="2" name="Rectangle 1">
          <a:extLst>
            <a:ext uri="{FF2B5EF4-FFF2-40B4-BE49-F238E27FC236}">
              <a16:creationId xmlns:a16="http://schemas.microsoft.com/office/drawing/2014/main" id="{07B05B14-F3C7-0410-9947-8EEACE6AED5A}"/>
            </a:ext>
          </a:extLst>
        </xdr:cNvPr>
        <xdr:cNvSpPr>
          <a:spLocks noChangeAspect="1"/>
        </xdr:cNvSpPr>
      </xdr:nvSpPr>
      <xdr:spPr>
        <a:xfrm>
          <a:off x="0" y="910776"/>
          <a:ext cx="1813671" cy="7628106"/>
        </a:xfrm>
        <a:prstGeom prst="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0800000" scaled="1"/>
          <a:tileRect/>
        </a:gradFill>
        <a:ln>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IN" sz="1200" b="1"/>
        </a:p>
      </xdr:txBody>
    </xdr:sp>
    <xdr:clientData/>
  </xdr:twoCellAnchor>
  <xdr:twoCellAnchor editAs="absolute">
    <xdr:from>
      <xdr:col>0</xdr:col>
      <xdr:colOff>133350</xdr:colOff>
      <xdr:row>6</xdr:row>
      <xdr:rowOff>88900</xdr:rowOff>
    </xdr:from>
    <xdr:to>
      <xdr:col>1</xdr:col>
      <xdr:colOff>714375</xdr:colOff>
      <xdr:row>8</xdr:row>
      <xdr:rowOff>9525</xdr:rowOff>
    </xdr:to>
    <xdr:sp macro="" textlink="'1_pivot'!I4">
      <xdr:nvSpPr>
        <xdr:cNvPr id="4" name="TextBox 3">
          <a:extLst>
            <a:ext uri="{FF2B5EF4-FFF2-40B4-BE49-F238E27FC236}">
              <a16:creationId xmlns:a16="http://schemas.microsoft.com/office/drawing/2014/main" id="{1C512320-5FF8-ECFB-8114-9D247D6FD523}"/>
            </a:ext>
          </a:extLst>
        </xdr:cNvPr>
        <xdr:cNvSpPr txBox="1">
          <a:spLocks noChangeAspect="1"/>
        </xdr:cNvSpPr>
      </xdr:nvSpPr>
      <xdr:spPr>
        <a:xfrm>
          <a:off x="133350" y="1769782"/>
          <a:ext cx="827554" cy="30162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1FD453-0380-44D9-BCE4-B0710B001FCE}" type="TxLink">
            <a:rPr lang="en-US" sz="2000" b="1" i="0" u="none" strike="noStrike">
              <a:gradFill>
                <a:gsLst>
                  <a:gs pos="0">
                    <a:schemeClr val="bg1"/>
                  </a:gs>
                  <a:gs pos="100000">
                    <a:schemeClr val="bg1">
                      <a:lumMod val="65000"/>
                    </a:schemeClr>
                  </a:gs>
                </a:gsLst>
                <a:lin ang="5400000" scaled="1"/>
              </a:gradFill>
              <a:latin typeface="Aptos Narrow"/>
            </a:rPr>
            <a:pPr algn="ctr"/>
            <a:t>2,400</a:t>
          </a:fld>
          <a:endParaRPr lang="en-IN" sz="2000" b="1">
            <a:gradFill>
              <a:gsLst>
                <a:gs pos="0">
                  <a:schemeClr val="bg1"/>
                </a:gs>
                <a:gs pos="100000">
                  <a:schemeClr val="bg1">
                    <a:lumMod val="65000"/>
                  </a:schemeClr>
                </a:gs>
              </a:gsLst>
              <a:lin ang="5400000" scaled="1"/>
            </a:gradFill>
          </a:endParaRPr>
        </a:p>
      </xdr:txBody>
    </xdr:sp>
    <xdr:clientData/>
  </xdr:twoCellAnchor>
  <xdr:twoCellAnchor editAs="absolute">
    <xdr:from>
      <xdr:col>0</xdr:col>
      <xdr:colOff>66675</xdr:colOff>
      <xdr:row>9</xdr:row>
      <xdr:rowOff>180975</xdr:rowOff>
    </xdr:from>
    <xdr:to>
      <xdr:col>1</xdr:col>
      <xdr:colOff>771525</xdr:colOff>
      <xdr:row>11</xdr:row>
      <xdr:rowOff>133350</xdr:rowOff>
    </xdr:to>
    <xdr:sp macro="" textlink="'1_pivot'!J4">
      <xdr:nvSpPr>
        <xdr:cNvPr id="5" name="TextBox 4">
          <a:extLst>
            <a:ext uri="{FF2B5EF4-FFF2-40B4-BE49-F238E27FC236}">
              <a16:creationId xmlns:a16="http://schemas.microsoft.com/office/drawing/2014/main" id="{8264387C-F12E-4B72-9D6B-1BB088EAC0CA}"/>
            </a:ext>
          </a:extLst>
        </xdr:cNvPr>
        <xdr:cNvSpPr txBox="1">
          <a:spLocks noChangeAspect="1"/>
        </xdr:cNvSpPr>
      </xdr:nvSpPr>
      <xdr:spPr>
        <a:xfrm>
          <a:off x="66675" y="2433357"/>
          <a:ext cx="951379" cy="33337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35DB89-B1B8-4206-836D-E79AC09D0FD0}" type="TxLink">
            <a:rPr lang="en-US" sz="2000" b="1" i="0" u="none" strike="noStrike">
              <a:gradFill>
                <a:gsLst>
                  <a:gs pos="0">
                    <a:schemeClr val="bg1"/>
                  </a:gs>
                  <a:gs pos="100000">
                    <a:schemeClr val="bg1">
                      <a:lumMod val="65000"/>
                    </a:schemeClr>
                  </a:gs>
                </a:gsLst>
                <a:lin ang="5400000" scaled="1"/>
              </a:gradFill>
              <a:latin typeface="Aptos Narrow"/>
              <a:ea typeface="+mn-ea"/>
              <a:cs typeface="+mn-cs"/>
            </a:rPr>
            <a:pPr marL="0" indent="0" algn="ctr"/>
            <a:t>11,997</a:t>
          </a:fld>
          <a:endParaRPr lang="en-IN" sz="2000" b="1" i="0" u="none" strike="noStrike">
            <a:gradFill>
              <a:gsLst>
                <a:gs pos="0">
                  <a:schemeClr val="bg1"/>
                </a:gs>
                <a:gs pos="100000">
                  <a:schemeClr val="bg1">
                    <a:lumMod val="65000"/>
                  </a:schemeClr>
                </a:gs>
              </a:gsLst>
              <a:lin ang="5400000" scaled="1"/>
            </a:gradFill>
            <a:latin typeface="Aptos Narrow"/>
            <a:ea typeface="+mn-ea"/>
            <a:cs typeface="+mn-cs"/>
          </a:endParaRPr>
        </a:p>
      </xdr:txBody>
    </xdr:sp>
    <xdr:clientData/>
  </xdr:twoCellAnchor>
  <xdr:twoCellAnchor editAs="absolute">
    <xdr:from>
      <xdr:col>0</xdr:col>
      <xdr:colOff>85725</xdr:colOff>
      <xdr:row>13</xdr:row>
      <xdr:rowOff>120650</xdr:rowOff>
    </xdr:from>
    <xdr:to>
      <xdr:col>1</xdr:col>
      <xdr:colOff>866775</xdr:colOff>
      <xdr:row>15</xdr:row>
      <xdr:rowOff>95250</xdr:rowOff>
    </xdr:to>
    <xdr:sp macro="" textlink="'1_pivot'!K4">
      <xdr:nvSpPr>
        <xdr:cNvPr id="6" name="TextBox 5">
          <a:extLst>
            <a:ext uri="{FF2B5EF4-FFF2-40B4-BE49-F238E27FC236}">
              <a16:creationId xmlns:a16="http://schemas.microsoft.com/office/drawing/2014/main" id="{86ABC9D7-880B-4D28-BB89-89F154AFFF94}"/>
            </a:ext>
          </a:extLst>
        </xdr:cNvPr>
        <xdr:cNvSpPr txBox="1">
          <a:spLocks noChangeAspect="1"/>
        </xdr:cNvSpPr>
      </xdr:nvSpPr>
      <xdr:spPr>
        <a:xfrm>
          <a:off x="85725" y="3135032"/>
          <a:ext cx="1027579" cy="35560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C2F887-5050-4A42-AD82-28D4F33AE139}" type="TxLink">
            <a:rPr lang="en-US" sz="2000" b="1" i="0" u="none" strike="noStrike">
              <a:gradFill>
                <a:gsLst>
                  <a:gs pos="6000">
                    <a:schemeClr val="bg1"/>
                  </a:gs>
                  <a:gs pos="100000">
                    <a:srgbClr val="FFC000"/>
                  </a:gs>
                </a:gsLst>
                <a:lin ang="5400000" scaled="1"/>
              </a:gradFill>
              <a:latin typeface="Aptos Narrow"/>
              <a:ea typeface="+mn-ea"/>
              <a:cs typeface="+mn-cs"/>
            </a:rPr>
            <a:pPr marL="0" indent="0" algn="ctr"/>
            <a:t>₹649.0k</a:t>
          </a:fld>
          <a:endParaRPr lang="en-IN" sz="2000" b="1" i="0" u="none" strike="noStrike">
            <a:gradFill>
              <a:gsLst>
                <a:gs pos="6000">
                  <a:schemeClr val="bg1"/>
                </a:gs>
                <a:gs pos="100000">
                  <a:srgbClr val="FFC000"/>
                </a:gs>
              </a:gsLst>
              <a:lin ang="5400000" scaled="1"/>
            </a:gradFill>
            <a:latin typeface="Aptos Narrow"/>
            <a:ea typeface="+mn-ea"/>
            <a:cs typeface="+mn-cs"/>
          </a:endParaRPr>
        </a:p>
      </xdr:txBody>
    </xdr:sp>
    <xdr:clientData/>
  </xdr:twoCellAnchor>
  <xdr:twoCellAnchor editAs="absolute">
    <xdr:from>
      <xdr:col>0</xdr:col>
      <xdr:colOff>66675</xdr:colOff>
      <xdr:row>20</xdr:row>
      <xdr:rowOff>123825</xdr:rowOff>
    </xdr:from>
    <xdr:to>
      <xdr:col>1</xdr:col>
      <xdr:colOff>409574</xdr:colOff>
      <xdr:row>22</xdr:row>
      <xdr:rowOff>38100</xdr:rowOff>
    </xdr:to>
    <xdr:sp macro="" textlink="'1_pivot'!M4">
      <xdr:nvSpPr>
        <xdr:cNvPr id="7" name="TextBox 6">
          <a:extLst>
            <a:ext uri="{FF2B5EF4-FFF2-40B4-BE49-F238E27FC236}">
              <a16:creationId xmlns:a16="http://schemas.microsoft.com/office/drawing/2014/main" id="{F9FBE9C5-818B-4009-9717-6783CBBEB559}"/>
            </a:ext>
          </a:extLst>
        </xdr:cNvPr>
        <xdr:cNvSpPr txBox="1">
          <a:spLocks noChangeAspect="1"/>
        </xdr:cNvSpPr>
      </xdr:nvSpPr>
      <xdr:spPr>
        <a:xfrm>
          <a:off x="66675" y="4471707"/>
          <a:ext cx="589428" cy="295275"/>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172ADD8-C8BD-44AB-89D7-318687050C3C}" type="TxLink">
            <a:rPr lang="en-US" sz="2000" b="1" i="0" u="none" strike="noStrike">
              <a:gradFill>
                <a:gsLst>
                  <a:gs pos="0">
                    <a:schemeClr val="bg1"/>
                  </a:gs>
                  <a:gs pos="100000">
                    <a:schemeClr val="bg1">
                      <a:lumMod val="65000"/>
                    </a:schemeClr>
                  </a:gs>
                </a:gsLst>
                <a:lin ang="5400000" scaled="1"/>
              </a:gradFill>
              <a:latin typeface="Aptos Narrow"/>
              <a:ea typeface="+mn-ea"/>
              <a:cs typeface="+mn-cs"/>
            </a:rPr>
            <a:pPr marL="0" indent="0" algn="ctr"/>
            <a:t>2.3</a:t>
          </a:fld>
          <a:endParaRPr lang="en-IN" sz="2000" b="1" i="0" u="none" strike="noStrike">
            <a:gradFill>
              <a:gsLst>
                <a:gs pos="0">
                  <a:schemeClr val="bg1"/>
                </a:gs>
                <a:gs pos="100000">
                  <a:schemeClr val="bg1">
                    <a:lumMod val="65000"/>
                  </a:schemeClr>
                </a:gs>
              </a:gsLst>
              <a:lin ang="5400000" scaled="1"/>
            </a:gradFill>
            <a:latin typeface="Aptos Narrow"/>
            <a:ea typeface="+mn-ea"/>
            <a:cs typeface="+mn-cs"/>
          </a:endParaRPr>
        </a:p>
      </xdr:txBody>
    </xdr:sp>
    <xdr:clientData/>
  </xdr:twoCellAnchor>
  <xdr:twoCellAnchor editAs="absolute">
    <xdr:from>
      <xdr:col>0</xdr:col>
      <xdr:colOff>9525</xdr:colOff>
      <xdr:row>17</xdr:row>
      <xdr:rowOff>50801</xdr:rowOff>
    </xdr:from>
    <xdr:to>
      <xdr:col>1</xdr:col>
      <xdr:colOff>466724</xdr:colOff>
      <xdr:row>18</xdr:row>
      <xdr:rowOff>133351</xdr:rowOff>
    </xdr:to>
    <xdr:sp macro="" textlink="'1_pivot'!L4">
      <xdr:nvSpPr>
        <xdr:cNvPr id="8" name="TextBox 7">
          <a:extLst>
            <a:ext uri="{FF2B5EF4-FFF2-40B4-BE49-F238E27FC236}">
              <a16:creationId xmlns:a16="http://schemas.microsoft.com/office/drawing/2014/main" id="{BA204136-7C3B-4CDF-B90A-5C16E96BFEFC}"/>
            </a:ext>
          </a:extLst>
        </xdr:cNvPr>
        <xdr:cNvSpPr txBox="1">
          <a:spLocks noChangeAspect="1"/>
        </xdr:cNvSpPr>
      </xdr:nvSpPr>
      <xdr:spPr>
        <a:xfrm>
          <a:off x="9525" y="3827183"/>
          <a:ext cx="703728" cy="273050"/>
        </a:xfrm>
        <a:prstGeom prst="rect">
          <a:avLst/>
        </a:prstGeom>
        <a:no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BB04A9-0433-40A2-9236-2B979E303108}" type="TxLink">
            <a:rPr lang="en-US" sz="2000" b="1" i="0" u="none" strike="noStrike">
              <a:gradFill>
                <a:gsLst>
                  <a:gs pos="0">
                    <a:schemeClr val="bg1"/>
                  </a:gs>
                  <a:gs pos="100000">
                    <a:schemeClr val="bg1">
                      <a:lumMod val="65000"/>
                    </a:schemeClr>
                  </a:gs>
                </a:gsLst>
                <a:lin ang="5400000" scaled="1"/>
              </a:gradFill>
              <a:latin typeface="Aptos Narrow"/>
              <a:ea typeface="+mn-ea"/>
              <a:cs typeface="+mn-cs"/>
            </a:rPr>
            <a:pPr marL="0" indent="0" algn="ctr"/>
            <a:t>4.0</a:t>
          </a:fld>
          <a:endParaRPr lang="en-IN" sz="2000" b="1" i="0" u="none" strike="noStrike">
            <a:gradFill>
              <a:gsLst>
                <a:gs pos="0">
                  <a:schemeClr val="bg1"/>
                </a:gs>
                <a:gs pos="100000">
                  <a:schemeClr val="bg1">
                    <a:lumMod val="65000"/>
                  </a:schemeClr>
                </a:gs>
              </a:gsLst>
              <a:lin ang="5400000" scaled="1"/>
            </a:gradFill>
            <a:latin typeface="Aptos Narrow"/>
            <a:ea typeface="+mn-ea"/>
            <a:cs typeface="+mn-cs"/>
          </a:endParaRPr>
        </a:p>
      </xdr:txBody>
    </xdr:sp>
    <xdr:clientData/>
  </xdr:twoCellAnchor>
  <xdr:twoCellAnchor editAs="absolute">
    <xdr:from>
      <xdr:col>0</xdr:col>
      <xdr:colOff>0</xdr:colOff>
      <xdr:row>4</xdr:row>
      <xdr:rowOff>161925</xdr:rowOff>
    </xdr:from>
    <xdr:to>
      <xdr:col>1</xdr:col>
      <xdr:colOff>876300</xdr:colOff>
      <xdr:row>6</xdr:row>
      <xdr:rowOff>161925</xdr:rowOff>
    </xdr:to>
    <xdr:sp macro="" textlink="">
      <xdr:nvSpPr>
        <xdr:cNvPr id="11" name="TextBox 10">
          <a:extLst>
            <a:ext uri="{FF2B5EF4-FFF2-40B4-BE49-F238E27FC236}">
              <a16:creationId xmlns:a16="http://schemas.microsoft.com/office/drawing/2014/main" id="{6BACCBFD-8DE8-9CF0-0B30-259110224D00}"/>
            </a:ext>
          </a:extLst>
        </xdr:cNvPr>
        <xdr:cNvSpPr txBox="1">
          <a:spLocks noChangeAspect="1"/>
        </xdr:cNvSpPr>
      </xdr:nvSpPr>
      <xdr:spPr>
        <a:xfrm>
          <a:off x="0" y="1461807"/>
          <a:ext cx="112282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t>🛒 </a:t>
          </a:r>
          <a:r>
            <a:rPr lang="en-US" sz="1400" b="0">
              <a:solidFill>
                <a:schemeClr val="bg1"/>
              </a:solidFill>
            </a:rPr>
            <a:t>Orders</a:t>
          </a:r>
        </a:p>
      </xdr:txBody>
    </xdr:sp>
    <xdr:clientData/>
  </xdr:twoCellAnchor>
  <xdr:twoCellAnchor editAs="absolute">
    <xdr:from>
      <xdr:col>0</xdr:col>
      <xdr:colOff>0</xdr:colOff>
      <xdr:row>8</xdr:row>
      <xdr:rowOff>120650</xdr:rowOff>
    </xdr:from>
    <xdr:to>
      <xdr:col>1</xdr:col>
      <xdr:colOff>876299</xdr:colOff>
      <xdr:row>10</xdr:row>
      <xdr:rowOff>47625</xdr:rowOff>
    </xdr:to>
    <xdr:sp macro="" textlink="">
      <xdr:nvSpPr>
        <xdr:cNvPr id="18" name="TextBox 17">
          <a:extLst>
            <a:ext uri="{FF2B5EF4-FFF2-40B4-BE49-F238E27FC236}">
              <a16:creationId xmlns:a16="http://schemas.microsoft.com/office/drawing/2014/main" id="{246F79F1-6826-4C71-9AFE-09B54624CD32}"/>
            </a:ext>
          </a:extLst>
        </xdr:cNvPr>
        <xdr:cNvSpPr txBox="1">
          <a:spLocks noChangeAspect="1"/>
        </xdr:cNvSpPr>
      </xdr:nvSpPr>
      <xdr:spPr>
        <a:xfrm>
          <a:off x="0" y="2182532"/>
          <a:ext cx="1122828"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 👕 </a:t>
          </a:r>
          <a:r>
            <a:rPr lang="en-US" sz="1400" b="0">
              <a:solidFill>
                <a:schemeClr val="bg1"/>
              </a:solidFill>
            </a:rPr>
            <a:t>Quantity</a:t>
          </a:r>
        </a:p>
      </xdr:txBody>
    </xdr:sp>
    <xdr:clientData/>
  </xdr:twoCellAnchor>
  <xdr:twoCellAnchor editAs="absolute">
    <xdr:from>
      <xdr:col>0</xdr:col>
      <xdr:colOff>0</xdr:colOff>
      <xdr:row>12</xdr:row>
      <xdr:rowOff>3175</xdr:rowOff>
    </xdr:from>
    <xdr:to>
      <xdr:col>1</xdr:col>
      <xdr:colOff>847725</xdr:colOff>
      <xdr:row>13</xdr:row>
      <xdr:rowOff>133350</xdr:rowOff>
    </xdr:to>
    <xdr:sp macro="" textlink="">
      <xdr:nvSpPr>
        <xdr:cNvPr id="19" name="TextBox 18">
          <a:extLst>
            <a:ext uri="{FF2B5EF4-FFF2-40B4-BE49-F238E27FC236}">
              <a16:creationId xmlns:a16="http://schemas.microsoft.com/office/drawing/2014/main" id="{FBAE672C-E66E-4173-BC70-DBDB108058A8}"/>
            </a:ext>
          </a:extLst>
        </xdr:cNvPr>
        <xdr:cNvSpPr txBox="1">
          <a:spLocks noChangeAspect="1"/>
        </xdr:cNvSpPr>
      </xdr:nvSpPr>
      <xdr:spPr>
        <a:xfrm>
          <a:off x="0" y="2827057"/>
          <a:ext cx="1094254" cy="32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dk1"/>
              </a:solidFill>
              <a:effectLst/>
              <a:latin typeface="+mn-lt"/>
              <a:ea typeface="+mn-ea"/>
              <a:cs typeface="+mn-cs"/>
            </a:rPr>
            <a:t>💰 </a:t>
          </a:r>
          <a:r>
            <a:rPr lang="en-US" sz="1400" b="0">
              <a:solidFill>
                <a:schemeClr val="bg1"/>
              </a:solidFill>
              <a:latin typeface="+mn-lt"/>
              <a:ea typeface="+mn-ea"/>
              <a:cs typeface="+mn-cs"/>
            </a:rPr>
            <a:t>Amount</a:t>
          </a:r>
          <a:r>
            <a:rPr lang="en-US" sz="1400"/>
            <a:t> </a:t>
          </a:r>
        </a:p>
      </xdr:txBody>
    </xdr:sp>
    <xdr:clientData/>
  </xdr:twoCellAnchor>
  <xdr:twoCellAnchor editAs="absolute">
    <xdr:from>
      <xdr:col>0</xdr:col>
      <xdr:colOff>0</xdr:colOff>
      <xdr:row>15</xdr:row>
      <xdr:rowOff>133351</xdr:rowOff>
    </xdr:from>
    <xdr:to>
      <xdr:col>1</xdr:col>
      <xdr:colOff>1047750</xdr:colOff>
      <xdr:row>17</xdr:row>
      <xdr:rowOff>76201</xdr:rowOff>
    </xdr:to>
    <xdr:sp macro="" textlink="">
      <xdr:nvSpPr>
        <xdr:cNvPr id="22" name="TextBox 21">
          <a:extLst>
            <a:ext uri="{FF2B5EF4-FFF2-40B4-BE49-F238E27FC236}">
              <a16:creationId xmlns:a16="http://schemas.microsoft.com/office/drawing/2014/main" id="{3F05D4B8-E6B6-40B8-B7A0-62FCEEDE77F3}"/>
            </a:ext>
          </a:extLst>
        </xdr:cNvPr>
        <xdr:cNvSpPr txBox="1">
          <a:spLocks noChangeAspect="1"/>
        </xdr:cNvSpPr>
      </xdr:nvSpPr>
      <xdr:spPr>
        <a:xfrm>
          <a:off x="0" y="3528733"/>
          <a:ext cx="1294279"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a:t>
          </a:r>
          <a:r>
            <a:rPr lang="en-US" sz="1400" baseline="0"/>
            <a:t> </a:t>
          </a:r>
          <a:r>
            <a:rPr lang="en-US" sz="1400" b="0" baseline="0">
              <a:solidFill>
                <a:schemeClr val="bg1"/>
              </a:solidFill>
            </a:rPr>
            <a:t>Avg</a:t>
          </a:r>
          <a:r>
            <a:rPr lang="en-US" sz="1400" b="1" baseline="0">
              <a:solidFill>
                <a:schemeClr val="bg1"/>
              </a:solidFill>
            </a:rPr>
            <a:t>. </a:t>
          </a:r>
          <a:r>
            <a:rPr lang="en-US" sz="1400" b="0" baseline="0">
              <a:solidFill>
                <a:schemeClr val="bg1"/>
              </a:solidFill>
            </a:rPr>
            <a:t>Rating</a:t>
          </a:r>
          <a:endParaRPr lang="en-US" sz="1400" b="0">
            <a:solidFill>
              <a:schemeClr val="bg1"/>
            </a:solidFill>
          </a:endParaRPr>
        </a:p>
      </xdr:txBody>
    </xdr:sp>
    <xdr:clientData/>
  </xdr:twoCellAnchor>
  <xdr:twoCellAnchor editAs="absolute">
    <xdr:from>
      <xdr:col>0</xdr:col>
      <xdr:colOff>0</xdr:colOff>
      <xdr:row>19</xdr:row>
      <xdr:rowOff>6350</xdr:rowOff>
    </xdr:from>
    <xdr:to>
      <xdr:col>2</xdr:col>
      <xdr:colOff>80963</xdr:colOff>
      <xdr:row>20</xdr:row>
      <xdr:rowOff>123825</xdr:rowOff>
    </xdr:to>
    <xdr:sp macro="" textlink="">
      <xdr:nvSpPr>
        <xdr:cNvPr id="24" name="TextBox 23">
          <a:extLst>
            <a:ext uri="{FF2B5EF4-FFF2-40B4-BE49-F238E27FC236}">
              <a16:creationId xmlns:a16="http://schemas.microsoft.com/office/drawing/2014/main" id="{7DABC65E-62B1-4005-BBCC-62B296B6123E}"/>
            </a:ext>
          </a:extLst>
        </xdr:cNvPr>
        <xdr:cNvSpPr txBox="1">
          <a:spLocks noChangeAspect="1"/>
        </xdr:cNvSpPr>
      </xdr:nvSpPr>
      <xdr:spPr>
        <a:xfrm>
          <a:off x="0" y="4163732"/>
          <a:ext cx="1660992"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a:solidFill>
                <a:schemeClr val="dk1"/>
              </a:solidFill>
              <a:effectLst/>
              <a:latin typeface="+mn-lt"/>
              <a:ea typeface="+mn-ea"/>
              <a:cs typeface="+mn-cs"/>
            </a:rPr>
            <a:t>📅</a:t>
          </a:r>
          <a:r>
            <a:rPr lang="en-US" sz="1400" b="1" baseline="0">
              <a:solidFill>
                <a:schemeClr val="bg1"/>
              </a:solidFill>
              <a:latin typeface="+mn-lt"/>
              <a:ea typeface="+mn-ea"/>
              <a:cs typeface="+mn-cs"/>
            </a:rPr>
            <a:t>Days to Deliver</a:t>
          </a:r>
          <a:endParaRPr lang="en-US" sz="1400">
            <a:solidFill>
              <a:schemeClr val="dk1"/>
            </a:solidFill>
            <a:effectLst/>
            <a:latin typeface="+mn-lt"/>
            <a:ea typeface="+mn-ea"/>
            <a:cs typeface="+mn-cs"/>
          </a:endParaRPr>
        </a:p>
      </xdr:txBody>
    </xdr:sp>
    <xdr:clientData/>
  </xdr:twoCellAnchor>
  <xdr:twoCellAnchor editAs="absolute">
    <xdr:from>
      <xdr:col>3</xdr:col>
      <xdr:colOff>296572</xdr:colOff>
      <xdr:row>3</xdr:row>
      <xdr:rowOff>91326</xdr:rowOff>
    </xdr:from>
    <xdr:to>
      <xdr:col>10</xdr:col>
      <xdr:colOff>259976</xdr:colOff>
      <xdr:row>15</xdr:row>
      <xdr:rowOff>158002</xdr:rowOff>
    </xdr:to>
    <xdr:graphicFrame macro="">
      <xdr:nvGraphicFramePr>
        <xdr:cNvPr id="25" name="Chart 24">
          <a:extLst>
            <a:ext uri="{FF2B5EF4-FFF2-40B4-BE49-F238E27FC236}">
              <a16:creationId xmlns:a16="http://schemas.microsoft.com/office/drawing/2014/main" id="{53762C41-FA7F-4AD0-AD62-A527EB11AFE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534519</xdr:colOff>
      <xdr:row>3</xdr:row>
      <xdr:rowOff>110377</xdr:rowOff>
    </xdr:from>
    <xdr:to>
      <xdr:col>17</xdr:col>
      <xdr:colOff>524995</xdr:colOff>
      <xdr:row>15</xdr:row>
      <xdr:rowOff>148477</xdr:rowOff>
    </xdr:to>
    <xdr:sp macro="" textlink="">
      <xdr:nvSpPr>
        <xdr:cNvPr id="9" name="Rectangle 8">
          <a:extLst>
            <a:ext uri="{FF2B5EF4-FFF2-40B4-BE49-F238E27FC236}">
              <a16:creationId xmlns:a16="http://schemas.microsoft.com/office/drawing/2014/main" id="{9675EBD5-167A-D154-421B-CADCD70E0826}"/>
            </a:ext>
          </a:extLst>
        </xdr:cNvPr>
        <xdr:cNvSpPr>
          <a:spLocks noChangeAspect="1"/>
        </xdr:cNvSpPr>
      </xdr:nvSpPr>
      <xdr:spPr>
        <a:xfrm>
          <a:off x="6574490" y="1219759"/>
          <a:ext cx="4226299" cy="2324100"/>
        </a:xfrm>
        <a:prstGeom prst="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absolute">
        <xdr:from>
          <xdr:col>11</xdr:col>
          <xdr:colOff>126626</xdr:colOff>
          <xdr:row>5</xdr:row>
          <xdr:rowOff>115981</xdr:rowOff>
        </xdr:from>
        <xdr:to>
          <xdr:col>17</xdr:col>
          <xdr:colOff>348949</xdr:colOff>
          <xdr:row>14</xdr:row>
          <xdr:rowOff>182656</xdr:rowOff>
        </xdr:to>
        <xdr:pic>
          <xdr:nvPicPr>
            <xdr:cNvPr id="28" name="Picture 27">
              <a:extLst>
                <a:ext uri="{FF2B5EF4-FFF2-40B4-BE49-F238E27FC236}">
                  <a16:creationId xmlns:a16="http://schemas.microsoft.com/office/drawing/2014/main" id="{1A329E23-07E2-3EC0-A359-E1A424784A4C}"/>
                </a:ext>
              </a:extLst>
            </xdr:cNvPr>
            <xdr:cNvPicPr>
              <a:picLocks noChangeAspect="1" noChangeArrowheads="1"/>
              <a:extLst>
                <a:ext uri="{84589F7E-364E-4C9E-8A38-B11213B215E9}">
                  <a14:cameraTool cellRange="'2_pivot'!$H$4:$L$9" spid="_x0000_s6179"/>
                </a:ext>
              </a:extLst>
            </xdr:cNvPicPr>
          </xdr:nvPicPr>
          <xdr:blipFill>
            <a:blip xmlns:r="http://schemas.openxmlformats.org/officeDocument/2006/relationships" r:embed="rId2"/>
            <a:srcRect/>
            <a:stretch>
              <a:fillRect/>
            </a:stretch>
          </xdr:blipFill>
          <xdr:spPr bwMode="auto">
            <a:xfrm>
              <a:off x="6771714" y="1606363"/>
              <a:ext cx="3853029" cy="1781175"/>
            </a:xfrm>
            <a:prstGeom prst="rect">
              <a:avLst/>
            </a:prstGeom>
            <a:extLst>
              <a:ext uri="{909E8E84-426E-40DD-AFC4-6F175D3DCCD1}">
                <a14:hiddenFill>
                  <a:solidFill>
                    <a:srgbClr val="FFFFFF"/>
                  </a:solidFill>
                </a14:hiddenFill>
              </a:ext>
            </a:extLst>
          </xdr:spPr>
        </xdr:pic>
        <xdr:clientData/>
      </xdr:twoCellAnchor>
    </mc:Choice>
    <mc:Fallback/>
  </mc:AlternateContent>
  <xdr:twoCellAnchor editAs="absolute">
    <xdr:from>
      <xdr:col>18</xdr:col>
      <xdr:colOff>182273</xdr:colOff>
      <xdr:row>3</xdr:row>
      <xdr:rowOff>100851</xdr:rowOff>
    </xdr:from>
    <xdr:to>
      <xdr:col>25</xdr:col>
      <xdr:colOff>298076</xdr:colOff>
      <xdr:row>15</xdr:row>
      <xdr:rowOff>167527</xdr:rowOff>
    </xdr:to>
    <xdr:graphicFrame macro="">
      <xdr:nvGraphicFramePr>
        <xdr:cNvPr id="10" name="Chart 9">
          <a:extLst>
            <a:ext uri="{FF2B5EF4-FFF2-40B4-BE49-F238E27FC236}">
              <a16:creationId xmlns:a16="http://schemas.microsoft.com/office/drawing/2014/main" id="{5C965D46-D644-44CB-9125-282E3DECCCA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269501</xdr:colOff>
      <xdr:row>17</xdr:row>
      <xdr:rowOff>24652</xdr:rowOff>
    </xdr:from>
    <xdr:to>
      <xdr:col>10</xdr:col>
      <xdr:colOff>298076</xdr:colOff>
      <xdr:row>40</xdr:row>
      <xdr:rowOff>119902</xdr:rowOff>
    </xdr:to>
    <xdr:graphicFrame macro="">
      <xdr:nvGraphicFramePr>
        <xdr:cNvPr id="12" name="Chart 11">
          <a:extLst>
            <a:ext uri="{FF2B5EF4-FFF2-40B4-BE49-F238E27FC236}">
              <a16:creationId xmlns:a16="http://schemas.microsoft.com/office/drawing/2014/main" id="{E8C38A6B-0547-4301-94F9-A8C7434B68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504825</xdr:colOff>
      <xdr:row>29</xdr:row>
      <xdr:rowOff>171450</xdr:rowOff>
    </xdr:from>
    <xdr:to>
      <xdr:col>10</xdr:col>
      <xdr:colOff>33617</xdr:colOff>
      <xdr:row>38</xdr:row>
      <xdr:rowOff>180974</xdr:rowOff>
    </xdr:to>
    <xdr:graphicFrame macro="">
      <xdr:nvGraphicFramePr>
        <xdr:cNvPr id="23" name="Chart 22">
          <a:extLst>
            <a:ext uri="{FF2B5EF4-FFF2-40B4-BE49-F238E27FC236}">
              <a16:creationId xmlns:a16="http://schemas.microsoft.com/office/drawing/2014/main" id="{E19F80DB-C41E-47C6-B387-B254FDE28E0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10</xdr:col>
      <xdr:colOff>534519</xdr:colOff>
      <xdr:row>17</xdr:row>
      <xdr:rowOff>62752</xdr:rowOff>
    </xdr:from>
    <xdr:to>
      <xdr:col>17</xdr:col>
      <xdr:colOff>534521</xdr:colOff>
      <xdr:row>41</xdr:row>
      <xdr:rowOff>5601</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12776A3C-12F6-4727-9E46-E43EEF7DD243}"/>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01944" y="3834652"/>
              <a:ext cx="4267202" cy="45148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15</xdr:col>
      <xdr:colOff>390526</xdr:colOff>
      <xdr:row>21</xdr:row>
      <xdr:rowOff>76198</xdr:rowOff>
    </xdr:from>
    <xdr:to>
      <xdr:col>17</xdr:col>
      <xdr:colOff>447676</xdr:colOff>
      <xdr:row>30</xdr:row>
      <xdr:rowOff>171449</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AF1AEE8A-9019-4D21-AC7A-62FEA6946684}"/>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505951" y="4610098"/>
              <a:ext cx="1276350" cy="18097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172747</xdr:colOff>
      <xdr:row>17</xdr:row>
      <xdr:rowOff>81802</xdr:rowOff>
    </xdr:from>
    <xdr:to>
      <xdr:col>25</xdr:col>
      <xdr:colOff>326651</xdr:colOff>
      <xdr:row>28</xdr:row>
      <xdr:rowOff>91328</xdr:rowOff>
    </xdr:to>
    <xdr:graphicFrame macro="">
      <xdr:nvGraphicFramePr>
        <xdr:cNvPr id="29" name="Chart 28">
          <a:extLst>
            <a:ext uri="{FF2B5EF4-FFF2-40B4-BE49-F238E27FC236}">
              <a16:creationId xmlns:a16="http://schemas.microsoft.com/office/drawing/2014/main" id="{8FF0169A-AC9B-4CFA-B6B7-956FC4672C5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18</xdr:col>
      <xdr:colOff>172747</xdr:colOff>
      <xdr:row>29</xdr:row>
      <xdr:rowOff>129426</xdr:rowOff>
    </xdr:from>
    <xdr:to>
      <xdr:col>25</xdr:col>
      <xdr:colOff>345701</xdr:colOff>
      <xdr:row>40</xdr:row>
      <xdr:rowOff>186577</xdr:rowOff>
    </xdr:to>
    <xdr:graphicFrame macro="">
      <xdr:nvGraphicFramePr>
        <xdr:cNvPr id="30" name="Chart 29">
          <a:extLst>
            <a:ext uri="{FF2B5EF4-FFF2-40B4-BE49-F238E27FC236}">
              <a16:creationId xmlns:a16="http://schemas.microsoft.com/office/drawing/2014/main" id="{A7633B4D-1417-462D-98FA-9D7D6A50DF6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133350</xdr:colOff>
      <xdr:row>22</xdr:row>
      <xdr:rowOff>161925</xdr:rowOff>
    </xdr:from>
    <xdr:to>
      <xdr:col>2</xdr:col>
      <xdr:colOff>47625</xdr:colOff>
      <xdr:row>32</xdr:row>
      <xdr:rowOff>95250</xdr:rowOff>
    </xdr:to>
    <mc:AlternateContent xmlns:mc="http://schemas.openxmlformats.org/markup-compatibility/2006" xmlns:a14="http://schemas.microsoft.com/office/drawing/2010/main">
      <mc:Choice Requires="a14">
        <xdr:graphicFrame macro="">
          <xdr:nvGraphicFramePr>
            <xdr:cNvPr id="43" name="Order Mode">
              <a:extLst>
                <a:ext uri="{FF2B5EF4-FFF2-40B4-BE49-F238E27FC236}">
                  <a16:creationId xmlns:a16="http://schemas.microsoft.com/office/drawing/2014/main" id="{A8725347-0311-41BC-878D-CB8CFF553B1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33350" y="4890807"/>
              <a:ext cx="1494304"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123825</xdr:colOff>
      <xdr:row>33</xdr:row>
      <xdr:rowOff>47625</xdr:rowOff>
    </xdr:from>
    <xdr:to>
      <xdr:col>2</xdr:col>
      <xdr:colOff>47625</xdr:colOff>
      <xdr:row>41</xdr:row>
      <xdr:rowOff>76200</xdr:rowOff>
    </xdr:to>
    <mc:AlternateContent xmlns:mc="http://schemas.openxmlformats.org/markup-compatibility/2006" xmlns:a14="http://schemas.microsoft.com/office/drawing/2010/main">
      <mc:Choice Requires="a14">
        <xdr:graphicFrame macro="">
          <xdr:nvGraphicFramePr>
            <xdr:cNvPr id="44" name="Gender Value">
              <a:extLst>
                <a:ext uri="{FF2B5EF4-FFF2-40B4-BE49-F238E27FC236}">
                  <a16:creationId xmlns:a16="http://schemas.microsoft.com/office/drawing/2014/main" id="{623156BF-189C-4946-B870-56329E2492EC}"/>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3825" y="6872007"/>
              <a:ext cx="1503829"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104775</xdr:colOff>
      <xdr:row>4</xdr:row>
      <xdr:rowOff>38100</xdr:rowOff>
    </xdr:from>
    <xdr:to>
      <xdr:col>15</xdr:col>
      <xdr:colOff>495300</xdr:colOff>
      <xdr:row>5</xdr:row>
      <xdr:rowOff>104775</xdr:rowOff>
    </xdr:to>
    <xdr:sp macro="" textlink="">
      <xdr:nvSpPr>
        <xdr:cNvPr id="45" name="TextBox 44">
          <a:extLst>
            <a:ext uri="{FF2B5EF4-FFF2-40B4-BE49-F238E27FC236}">
              <a16:creationId xmlns:a16="http://schemas.microsoft.com/office/drawing/2014/main" id="{8DC03128-0FB0-AF9F-0523-A650F8C5CCCA}"/>
            </a:ext>
          </a:extLst>
        </xdr:cNvPr>
        <xdr:cNvSpPr txBox="1">
          <a:spLocks noChangeAspect="1"/>
        </xdr:cNvSpPr>
      </xdr:nvSpPr>
      <xdr:spPr>
        <a:xfrm>
          <a:off x="7960099" y="1337982"/>
          <a:ext cx="160076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How they like to by? </a:t>
          </a:r>
        </a:p>
      </xdr:txBody>
    </xdr:sp>
    <xdr:clientData/>
  </xdr:twoCellAnchor>
  <xdr:twoCellAnchor editAs="absolute">
    <xdr:from>
      <xdr:col>0</xdr:col>
      <xdr:colOff>28575</xdr:colOff>
      <xdr:row>2</xdr:row>
      <xdr:rowOff>114300</xdr:rowOff>
    </xdr:from>
    <xdr:to>
      <xdr:col>2</xdr:col>
      <xdr:colOff>171450</xdr:colOff>
      <xdr:row>5</xdr:row>
      <xdr:rowOff>122</xdr:rowOff>
    </xdr:to>
    <xdr:pic>
      <xdr:nvPicPr>
        <xdr:cNvPr id="53" name="Picture 52">
          <a:extLst>
            <a:ext uri="{FF2B5EF4-FFF2-40B4-BE49-F238E27FC236}">
              <a16:creationId xmlns:a16="http://schemas.microsoft.com/office/drawing/2014/main" id="{A3DA4140-DDF3-4495-99DE-42F777910C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8575" y="1033182"/>
          <a:ext cx="1722904" cy="457322"/>
        </a:xfrm>
        <a:prstGeom prst="rect">
          <a:avLst/>
        </a:prstGeom>
      </xdr:spPr>
    </xdr:pic>
    <xdr:clientData/>
  </xdr:twoCellAnchor>
  <xdr:twoCellAnchor editAs="absolute">
    <xdr:from>
      <xdr:col>1</xdr:col>
      <xdr:colOff>806824</xdr:colOff>
      <xdr:row>0</xdr:row>
      <xdr:rowOff>114300</xdr:rowOff>
    </xdr:from>
    <xdr:to>
      <xdr:col>23</xdr:col>
      <xdr:colOff>560294</xdr:colOff>
      <xdr:row>1</xdr:row>
      <xdr:rowOff>114300</xdr:rowOff>
    </xdr:to>
    <xdr:sp macro="" textlink="">
      <xdr:nvSpPr>
        <xdr:cNvPr id="75" name="TextBox 74">
          <a:extLst>
            <a:ext uri="{FF2B5EF4-FFF2-40B4-BE49-F238E27FC236}">
              <a16:creationId xmlns:a16="http://schemas.microsoft.com/office/drawing/2014/main" id="{9E620C30-1F61-DF88-35E6-1B51C2AC3C7C}"/>
            </a:ext>
          </a:extLst>
        </xdr:cNvPr>
        <xdr:cNvSpPr txBox="1">
          <a:spLocks noChangeAspect="1"/>
        </xdr:cNvSpPr>
      </xdr:nvSpPr>
      <xdr:spPr>
        <a:xfrm>
          <a:off x="1053353" y="114300"/>
          <a:ext cx="13413441" cy="728382"/>
        </a:xfrm>
        <a:prstGeom prst="rect">
          <a:avLst/>
        </a:prstGeom>
        <a:noFill/>
        <a:ln w="9525" cmpd="sng">
          <a:noFill/>
        </a:ln>
        <a:effectLst>
          <a:outerShdw blurRad="50800" dist="38100" algn="l" rotWithShape="0">
            <a:srgbClr val="FFC000">
              <a:alpha val="4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u="none">
              <a:solidFill>
                <a:schemeClr val="bg1"/>
              </a:solidFill>
            </a:rPr>
            <a:t> E-Commerce</a:t>
          </a:r>
          <a:r>
            <a:rPr lang="en-IN" sz="4000" b="1" u="none" baseline="0">
              <a:solidFill>
                <a:schemeClr val="bg1"/>
              </a:solidFill>
            </a:rPr>
            <a:t>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5.851132175929" createdVersion="8" refreshedVersion="8" minRefreshableVersion="3" recordCount="2400" xr:uid="{DB0EAF0C-5FE8-4607-96B5-E65557593C37}">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5"/>
        </groupItems>
      </fieldGroup>
    </cacheField>
    <cacheField name="Months (Order Date)" numFmtId="0" databaseField="0">
      <fieldGroup base="5">
        <rangePr groupBy="months" startDate="2025-01-01T00:00:00" endDate="2025-03-30T00:00:00"/>
        <groupItems count="14">
          <s v="&lt;01-01-25"/>
          <s v="Jan"/>
          <s v="Feb"/>
          <s v="Mar"/>
          <s v="Apr"/>
          <s v="May"/>
          <s v="Jun"/>
          <s v="Jul"/>
          <s v="Aug"/>
          <s v="Sep"/>
          <s v="Oct"/>
          <s v="Nov"/>
          <s v="Dec"/>
          <s v="&gt;30-03-25"/>
        </groupItems>
      </fieldGroup>
    </cacheField>
  </cacheFields>
  <extLst>
    <ext xmlns:x14="http://schemas.microsoft.com/office/spreadsheetml/2009/9/main" uri="{725AE2AE-9491-48be-B2B4-4EB974FC3084}">
      <x14:pivotCacheDefinition pivotCacheId="2126512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CBBE4-8332-44AC-A65B-D5CA8A31A75F}" name="pvt_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13" baseItem="3" numFmtId="164"/>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BFD98-F74D-4FE7-8F3E-28A32B2B45D5}" name="pvt_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Sales" fld="0" subtotal="count" baseField="0" baseItem="1" numFmtId="3"/>
    <dataField name="Total Quantity Sold" fld="2" baseField="0" baseItem="1" numFmtId="3"/>
    <dataField name="Total Amount " fld="4" baseField="0" baseItem="1" numFmtId="164"/>
    <dataField name="Average Rating" fld="9" subtotal="average" baseField="0" baseItem="1" numFmtId="165"/>
    <dataField name="Average Delivery Days" fld="12" subtotal="average" baseField="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CF7D3-683D-4BF2-8596-BAF2ABA5A8AE}" name="pvt_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F0C8BF-5B33-4084-A18C-CAE287FA97B8}" name="pvt_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sd="0" x="0"/>
        <item sd="0" x="1"/>
        <item sd="0" x="2"/>
        <item sd="0" x="4"/>
        <item sd="0" x="3"/>
        <item n="6 to 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4609F8-13EA-4345-B0B3-D0634CA408B2}" name="pvt_productby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25" firstHeaderRow="1" firstDataRow="2" firstDataCol="1"/>
  <pivotFields count="18">
    <pivotField showAll="0"/>
    <pivotField axis="axisRow"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7"/>
    </i>
    <i>
      <x/>
    </i>
    <i>
      <x v="17"/>
    </i>
    <i>
      <x v="15"/>
    </i>
    <i>
      <x v="10"/>
    </i>
    <i>
      <x v="19"/>
    </i>
    <i>
      <x v="3"/>
    </i>
    <i>
      <x v="9"/>
    </i>
    <i>
      <x v="8"/>
    </i>
    <i>
      <x v="2"/>
    </i>
    <i>
      <x v="5"/>
    </i>
    <i>
      <x v="11"/>
    </i>
    <i>
      <x v="12"/>
    </i>
    <i>
      <x v="4"/>
    </i>
    <i>
      <x v="14"/>
    </i>
    <i>
      <x v="1"/>
    </i>
    <i>
      <x v="16"/>
    </i>
    <i>
      <x v="13"/>
    </i>
    <i>
      <x v="6"/>
    </i>
    <i>
      <x v="18"/>
    </i>
    <i t="grand">
      <x/>
    </i>
  </rowItems>
  <colFields count="1">
    <field x="14"/>
  </colFields>
  <colItems count="5">
    <i>
      <x/>
    </i>
    <i>
      <x v="1"/>
    </i>
    <i>
      <x v="2"/>
    </i>
    <i>
      <x v="3"/>
    </i>
    <i t="grand">
      <x/>
    </i>
  </colItems>
  <dataFields count="1">
    <dataField name="Sum of Quantity" fld="2" baseField="0" baseItem="0"/>
  </dataFields>
  <chartFormats count="5">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2">
          <reference field="4294967294" count="1" selected="0">
            <x v="0"/>
          </reference>
          <reference field="14" count="1" selected="0">
            <x v="1"/>
          </reference>
        </references>
      </pivotArea>
    </chartFormat>
    <chartFormat chart="2" format="14" series="1">
      <pivotArea type="data" outline="0" fieldPosition="0">
        <references count="2">
          <reference field="4294967294" count="1" selected="0">
            <x v="0"/>
          </reference>
          <reference field="14" count="1" selected="0">
            <x v="2"/>
          </reference>
        </references>
      </pivotArea>
    </chartFormat>
    <chartFormat chart="2" format="15" series="1">
      <pivotArea type="data" outline="0" fieldPosition="0">
        <references count="2">
          <reference field="4294967294" count="1" selected="0">
            <x v="0"/>
          </reference>
          <reference field="14" count="1" selected="0">
            <x v="3"/>
          </reference>
        </references>
      </pivotArea>
    </chartFormat>
    <chartFormat chart="2" format="1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58B61C-6232-4947-AAE0-91A626B3CBC2}" name="pvt_qtyby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H3:I8" firstHeaderRow="1" firstDataRow="1" firstDataCol="1"/>
  <pivotFields count="18">
    <pivotField showAll="0"/>
    <pivotField showAll="0" sortType="a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2">
            <reference field="4294967294" count="1" selected="0">
              <x v="0"/>
            </reference>
            <reference field="1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13" series="1">
      <pivotArea type="data" outline="0" fieldPosition="0">
        <references count="2">
          <reference field="4294967294" count="1" selected="0">
            <x v="0"/>
          </reference>
          <reference field="14" count="1" selected="0">
            <x v="1"/>
          </reference>
        </references>
      </pivotArea>
    </chartFormat>
    <chartFormat chart="2" format="14" series="1">
      <pivotArea type="data" outline="0" fieldPosition="0">
        <references count="2">
          <reference field="4294967294" count="1" selected="0">
            <x v="0"/>
          </reference>
          <reference field="14" count="1" selected="0">
            <x v="2"/>
          </reference>
        </references>
      </pivotArea>
    </chartFormat>
    <chartFormat chart="2" format="15" series="1">
      <pivotArea type="data" outline="0" fieldPosition="0">
        <references count="2">
          <reference field="4294967294" count="1" selected="0">
            <x v="0"/>
          </reference>
          <reference field="14" count="1" selected="0">
            <x v="3"/>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 chart="0" format="6" series="1">
      <pivotArea type="data" outline="0" fieldPosition="0">
        <references count="2">
          <reference field="4294967294" count="1" selected="0">
            <x v="0"/>
          </reference>
          <reference field="14" count="1" selected="0">
            <x v="2"/>
          </reference>
        </references>
      </pivotArea>
    </chartFormat>
    <chartFormat chart="0" format="7" series="1">
      <pivotArea type="data" outline="0" fieldPosition="0">
        <references count="2">
          <reference field="4294967294" count="1" selected="0">
            <x v="0"/>
          </reference>
          <reference field="14" count="1" selected="0">
            <x v="3"/>
          </reference>
        </references>
      </pivotArea>
    </chartFormat>
    <chartFormat chart="0" format="8" series="1">
      <pivotArea type="data" outline="0" fieldPosition="0">
        <references count="2">
          <reference field="4294967294" count="1" selected="0">
            <x v="0"/>
          </reference>
          <reference field="14" count="1" selected="0">
            <x v="0"/>
          </reference>
        </references>
      </pivotArea>
    </chartFormat>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33" format="46" series="1">
      <pivotArea type="data" outline="0" fieldPosition="0">
        <references count="1">
          <reference field="4294967294" count="1" selected="0">
            <x v="0"/>
          </reference>
        </references>
      </pivotArea>
    </chartFormat>
    <chartFormat chart="33" format="47">
      <pivotArea type="data" outline="0" fieldPosition="0">
        <references count="2">
          <reference field="4294967294" count="1" selected="0">
            <x v="0"/>
          </reference>
          <reference field="14" count="1" selected="0">
            <x v="0"/>
          </reference>
        </references>
      </pivotArea>
    </chartFormat>
    <chartFormat chart="33" format="48">
      <pivotArea type="data" outline="0" fieldPosition="0">
        <references count="2">
          <reference field="4294967294" count="1" selected="0">
            <x v="0"/>
          </reference>
          <reference field="14" count="1" selected="0">
            <x v="1"/>
          </reference>
        </references>
      </pivotArea>
    </chartFormat>
    <chartFormat chart="33" format="49">
      <pivotArea type="data" outline="0" fieldPosition="0">
        <references count="2">
          <reference field="4294967294" count="1" selected="0">
            <x v="0"/>
          </reference>
          <reference field="14" count="1" selected="0">
            <x v="2"/>
          </reference>
        </references>
      </pivotArea>
    </chartFormat>
    <chartFormat chart="33" format="5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190FFB-3F89-42D3-B8D3-8AD4FEB9FECD}" name="pvt_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F949BF-48E6-42CA-A51B-14341E9E895C}" name="pvt_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FB935C-6B97-4A02-9FAF-F066C8F85463}" name="pvt_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5:G30"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9">
    <chartFormat chart="8" format="6" series="1">
      <pivotArea type="data" outline="0" fieldPosition="0">
        <references count="2">
          <reference field="4294967294" count="1" selected="0">
            <x v="0"/>
          </reference>
          <reference field="17" count="1" selected="0">
            <x v="1"/>
          </reference>
        </references>
      </pivotArea>
    </chartFormat>
    <chartFormat chart="8" format="7" series="1">
      <pivotArea type="data" outline="0" fieldPosition="0">
        <references count="2">
          <reference field="4294967294" count="1" selected="0">
            <x v="0"/>
          </reference>
          <reference field="17" count="1" selected="0">
            <x v="2"/>
          </reference>
        </references>
      </pivotArea>
    </chartFormat>
    <chartFormat chart="8" format="8" series="1">
      <pivotArea type="data" outline="0" fieldPosition="0">
        <references count="2">
          <reference field="4294967294" count="1" selected="0">
            <x v="0"/>
          </reference>
          <reference field="17"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9" count="1" selected="0">
            <x v="1"/>
          </reference>
        </references>
      </pivotArea>
    </chartFormat>
    <chartFormat chart="8" format="11" series="1">
      <pivotArea type="data" outline="0" fieldPosition="0">
        <references count="2">
          <reference field="4294967294" count="1" selected="0">
            <x v="0"/>
          </reference>
          <reference field="9" count="1" selected="0">
            <x v="2"/>
          </reference>
        </references>
      </pivotArea>
    </chartFormat>
    <chartFormat chart="8" format="12" series="1">
      <pivotArea type="data" outline="0" fieldPosition="0">
        <references count="2">
          <reference field="4294967294" count="1" selected="0">
            <x v="0"/>
          </reference>
          <reference field="9" count="1" selected="0">
            <x v="3"/>
          </reference>
        </references>
      </pivotArea>
    </chartFormat>
    <chartFormat chart="8" format="13" series="1">
      <pivotArea type="data" outline="0" fieldPosition="0">
        <references count="2">
          <reference field="4294967294" count="1" selected="0">
            <x v="0"/>
          </reference>
          <reference field="9" count="1" selected="0">
            <x v="4"/>
          </reference>
        </references>
      </pivotArea>
    </chartFormat>
    <chartFormat chart="8" format="14"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EFDFB98-AEBD-4627-981F-7650D4D461BF}" sourceName="Order Mode">
  <pivotTables>
    <pivotTable tabId="12" name="pvt_satisfaction"/>
    <pivotTable tabId="5" name="pvt_qty"/>
    <pivotTable tabId="5" name="pvt_summary"/>
    <pivotTable tabId="8" name="pvt_rating"/>
    <pivotTable tabId="12" name="pvt_duration"/>
    <pivotTable tabId="9" name="pvt_productbyqty"/>
    <pivotTable tabId="9" name="pvt_qtybygender"/>
    <pivotTable tabId="11" name="pvt_map"/>
  </pivotTables>
  <data>
    <tabular pivotCacheId="2126512354">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9328173-C9E3-46FE-BA6F-81DB009108B7}" sourceName="Gender Value">
  <pivotTables>
    <pivotTable tabId="12" name="pvt_satisfaction"/>
    <pivotTable tabId="5" name="pvt_qty"/>
    <pivotTable tabId="8" name="pvt_rating"/>
    <pivotTable tabId="11" name="pvt_map"/>
    <pivotTable tabId="12" name="pvt_duration"/>
    <pivotTable tabId="5" name="pvt_summary"/>
  </pivotTables>
  <data>
    <tabular pivotCacheId="212651235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A1F380F0-E1BB-4401-A0AF-15218241F18F}" cache="Slicer_Order_Mode" caption="Order Mode" style="Slicer Style 1" lockedPosition="1" rowHeight="257175"/>
  <slicer name="Gender Value" xr10:uid="{9292148C-CFD6-4FD6-9A53-E14033B6BC04}" cache="Slicer_Gender_Value" caption="Gender" style="Slicer Style 1" lockedPosition="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9C6C-A8C5-484A-B1AB-A210A039EE4C}">
  <dimension ref="A2:M22"/>
  <sheetViews>
    <sheetView workbookViewId="0">
      <selection activeCell="AE6" sqref="AE6"/>
    </sheetView>
  </sheetViews>
  <sheetFormatPr defaultRowHeight="15" x14ac:dyDescent="0.25"/>
  <cols>
    <col min="1" max="1" width="10.7109375" bestFit="1" customWidth="1"/>
    <col min="2" max="2" width="18.28515625" bestFit="1" customWidth="1"/>
    <col min="3" max="3" width="13.42578125" bestFit="1" customWidth="1"/>
    <col min="4" max="4" width="14.42578125" bestFit="1" customWidth="1"/>
    <col min="5" max="5" width="21.42578125" bestFit="1" customWidth="1"/>
    <col min="8" max="8" width="21.7109375" bestFit="1" customWidth="1"/>
    <col min="9" max="13" width="10" customWidth="1"/>
  </cols>
  <sheetData>
    <row r="2" spans="1:13" ht="18.75" x14ac:dyDescent="0.3">
      <c r="H2" s="8" t="s">
        <v>2530</v>
      </c>
    </row>
    <row r="3" spans="1:13" x14ac:dyDescent="0.25">
      <c r="A3" t="s">
        <v>2521</v>
      </c>
      <c r="B3" t="s">
        <v>2522</v>
      </c>
      <c r="C3" t="s">
        <v>2523</v>
      </c>
      <c r="D3" t="s">
        <v>2524</v>
      </c>
      <c r="E3" t="s">
        <v>2525</v>
      </c>
      <c r="I3" s="9" t="s">
        <v>2518</v>
      </c>
      <c r="J3" s="9" t="s">
        <v>2526</v>
      </c>
      <c r="K3" s="9" t="s">
        <v>2527</v>
      </c>
      <c r="L3" s="9" t="s">
        <v>2528</v>
      </c>
      <c r="M3" s="9" t="s">
        <v>2529</v>
      </c>
    </row>
    <row r="4" spans="1:13" x14ac:dyDescent="0.25">
      <c r="A4" s="5">
        <v>2400</v>
      </c>
      <c r="B4" s="5">
        <v>11997</v>
      </c>
      <c r="C4" s="6">
        <v>649019.80000000144</v>
      </c>
      <c r="D4" s="7">
        <v>3.9620833333333332</v>
      </c>
      <c r="E4" s="5">
        <v>2.3424999999999998</v>
      </c>
      <c r="I4" s="10" t="str">
        <f>TEXT(A4,"#,##")</f>
        <v>2,400</v>
      </c>
      <c r="J4" s="10" t="str">
        <f t="shared" ref="J4" si="0">TEXT(B4,"#,##")</f>
        <v>11,997</v>
      </c>
      <c r="K4" s="10" t="str">
        <f>TEXT(C4,"₹#,##,.0k")</f>
        <v>₹649.0k</v>
      </c>
      <c r="L4" s="10" t="str">
        <f>TEXT(D4,"0.0")</f>
        <v>4.0</v>
      </c>
      <c r="M4" s="10" t="str">
        <f>TEXT(E4,"0.0")</f>
        <v>2.3</v>
      </c>
    </row>
    <row r="8" spans="1:13" x14ac:dyDescent="0.25">
      <c r="A8" s="11" t="s">
        <v>2531</v>
      </c>
      <c r="B8" t="s">
        <v>2519</v>
      </c>
      <c r="C8" t="s">
        <v>2520</v>
      </c>
    </row>
    <row r="9" spans="1:13" x14ac:dyDescent="0.25">
      <c r="A9" s="12">
        <v>1</v>
      </c>
      <c r="B9">
        <v>546</v>
      </c>
      <c r="C9" s="6">
        <v>32413.300000000003</v>
      </c>
    </row>
    <row r="10" spans="1:13" x14ac:dyDescent="0.25">
      <c r="A10" s="12">
        <v>2</v>
      </c>
      <c r="B10">
        <v>905</v>
      </c>
      <c r="C10" s="6">
        <v>49562.999999999993</v>
      </c>
    </row>
    <row r="11" spans="1:13" x14ac:dyDescent="0.25">
      <c r="A11" s="12">
        <v>3</v>
      </c>
      <c r="B11">
        <v>796</v>
      </c>
      <c r="C11" s="6">
        <v>41700.400000000016</v>
      </c>
    </row>
    <row r="12" spans="1:13" x14ac:dyDescent="0.25">
      <c r="A12" s="12">
        <v>4</v>
      </c>
      <c r="B12">
        <v>913</v>
      </c>
      <c r="C12" s="6">
        <v>46782.599999999984</v>
      </c>
    </row>
    <row r="13" spans="1:13" x14ac:dyDescent="0.25">
      <c r="A13" s="12">
        <v>5</v>
      </c>
      <c r="B13">
        <v>844</v>
      </c>
      <c r="C13" s="6">
        <v>42676.100000000006</v>
      </c>
    </row>
    <row r="14" spans="1:13" x14ac:dyDescent="0.25">
      <c r="A14" s="12">
        <v>6</v>
      </c>
      <c r="B14">
        <v>1202</v>
      </c>
      <c r="C14" s="6">
        <v>62910.7</v>
      </c>
    </row>
    <row r="15" spans="1:13" x14ac:dyDescent="0.25">
      <c r="A15" s="12">
        <v>7</v>
      </c>
      <c r="B15">
        <v>935</v>
      </c>
      <c r="C15" s="6">
        <v>50332.200000000004</v>
      </c>
    </row>
    <row r="16" spans="1:13" x14ac:dyDescent="0.25">
      <c r="A16" s="12">
        <v>8</v>
      </c>
      <c r="B16">
        <v>1128</v>
      </c>
      <c r="C16" s="6">
        <v>58760.599999999977</v>
      </c>
    </row>
    <row r="17" spans="1:3" x14ac:dyDescent="0.25">
      <c r="A17" s="12">
        <v>9</v>
      </c>
      <c r="B17">
        <v>1007</v>
      </c>
      <c r="C17" s="6">
        <v>52017.299999999996</v>
      </c>
    </row>
    <row r="18" spans="1:3" x14ac:dyDescent="0.25">
      <c r="A18" s="12">
        <v>10</v>
      </c>
      <c r="B18">
        <v>1128</v>
      </c>
      <c r="C18" s="6">
        <v>64915.700000000033</v>
      </c>
    </row>
    <row r="19" spans="1:3" x14ac:dyDescent="0.25">
      <c r="A19" s="12">
        <v>11</v>
      </c>
      <c r="B19">
        <v>861</v>
      </c>
      <c r="C19" s="6">
        <v>45943.80000000001</v>
      </c>
    </row>
    <row r="20" spans="1:3" x14ac:dyDescent="0.25">
      <c r="A20" s="12">
        <v>12</v>
      </c>
      <c r="B20">
        <v>944</v>
      </c>
      <c r="C20" s="6">
        <v>55077.900000000031</v>
      </c>
    </row>
    <row r="21" spans="1:3" x14ac:dyDescent="0.25">
      <c r="A21" s="12">
        <v>13</v>
      </c>
      <c r="B21">
        <v>788</v>
      </c>
      <c r="C21" s="6">
        <v>45926.19999999999</v>
      </c>
    </row>
    <row r="22" spans="1:3" x14ac:dyDescent="0.25">
      <c r="A22" s="12" t="s">
        <v>2532</v>
      </c>
      <c r="B22">
        <v>11997</v>
      </c>
      <c r="C22" s="6">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3162-7637-4D59-95CB-1816EEB5B1E0}">
  <dimension ref="A2:L10"/>
  <sheetViews>
    <sheetView showGridLines="0" workbookViewId="0">
      <selection activeCell="AE6" sqref="AE6"/>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8" max="8" width="11.28515625" bestFit="1" customWidth="1"/>
    <col min="9" max="9" width="7.42578125" bestFit="1" customWidth="1"/>
    <col min="10" max="10" width="6.140625" bestFit="1" customWidth="1"/>
    <col min="11" max="11" width="5.85546875" bestFit="1" customWidth="1"/>
    <col min="12" max="12" width="9.28515625" bestFit="1" customWidth="1"/>
  </cols>
  <sheetData>
    <row r="2" spans="1:12" ht="18.75" x14ac:dyDescent="0.3">
      <c r="H2" s="8" t="s">
        <v>2538</v>
      </c>
    </row>
    <row r="3" spans="1:12" x14ac:dyDescent="0.25">
      <c r="A3" s="11" t="s">
        <v>2520</v>
      </c>
      <c r="B3" s="11" t="s">
        <v>2537</v>
      </c>
    </row>
    <row r="4" spans="1:12" x14ac:dyDescent="0.25">
      <c r="A4" s="11" t="s">
        <v>2531</v>
      </c>
      <c r="B4" t="s">
        <v>2533</v>
      </c>
      <c r="C4" t="s">
        <v>2534</v>
      </c>
      <c r="D4" t="s">
        <v>2535</v>
      </c>
      <c r="E4" t="s">
        <v>2536</v>
      </c>
      <c r="F4" t="s">
        <v>2532</v>
      </c>
      <c r="H4" s="14"/>
      <c r="I4" s="14" t="str">
        <f>B4</f>
        <v>Female</v>
      </c>
      <c r="J4" s="14" t="str">
        <f t="shared" ref="J4:L4" si="0">C4</f>
        <v>Male</v>
      </c>
      <c r="K4" s="14" t="str">
        <f t="shared" si="0"/>
        <v>Other</v>
      </c>
      <c r="L4" s="14" t="str">
        <f t="shared" si="0"/>
        <v>Unknown</v>
      </c>
    </row>
    <row r="5" spans="1:12" ht="15.75" thickBot="1" x14ac:dyDescent="0.3">
      <c r="A5" s="12" t="s">
        <v>18</v>
      </c>
      <c r="B5" s="13">
        <v>0.18961825201634841</v>
      </c>
      <c r="C5" s="13">
        <v>0.12262322351336576</v>
      </c>
      <c r="D5" s="13">
        <v>1.060537752469185E-2</v>
      </c>
      <c r="E5" s="13">
        <v>3.0599220547662797E-2</v>
      </c>
      <c r="F5" s="13">
        <v>0.35344607360206881</v>
      </c>
      <c r="H5" s="14" t="str">
        <f>A5</f>
        <v>App</v>
      </c>
      <c r="I5" s="15">
        <f t="shared" ref="I5:L9" si="1">B5</f>
        <v>0.18961825201634841</v>
      </c>
      <c r="J5" s="16">
        <f t="shared" si="1"/>
        <v>0.12262322351336576</v>
      </c>
      <c r="K5" s="16">
        <f t="shared" si="1"/>
        <v>1.060537752469185E-2</v>
      </c>
      <c r="L5" s="17">
        <f t="shared" si="1"/>
        <v>3.0599220547662797E-2</v>
      </c>
    </row>
    <row r="6" spans="1:12" ht="16.5" thickTop="1" thickBot="1" x14ac:dyDescent="0.3">
      <c r="A6" s="12" t="s">
        <v>51</v>
      </c>
      <c r="B6" s="13">
        <v>5.0283982091147303E-2</v>
      </c>
      <c r="C6" s="13">
        <v>4.3060781812819873E-2</v>
      </c>
      <c r="D6" s="13">
        <v>1.5320025675641944E-3</v>
      </c>
      <c r="E6" s="13">
        <v>1.7794988689097006E-2</v>
      </c>
      <c r="F6" s="13">
        <v>0.11267175516062837</v>
      </c>
      <c r="H6" s="14" t="str">
        <f t="shared" ref="H6:H9" si="2">A6</f>
        <v>Instagram</v>
      </c>
      <c r="I6" s="18">
        <f t="shared" si="1"/>
        <v>5.0283982091147303E-2</v>
      </c>
      <c r="J6" s="19">
        <f t="shared" si="1"/>
        <v>4.3060781812819873E-2</v>
      </c>
      <c r="K6" s="19">
        <f t="shared" si="1"/>
        <v>1.5320025675641944E-3</v>
      </c>
      <c r="L6" s="20">
        <f t="shared" si="1"/>
        <v>1.7794988689097006E-2</v>
      </c>
    </row>
    <row r="7" spans="1:12" ht="16.5" thickTop="1" thickBot="1" x14ac:dyDescent="0.3">
      <c r="A7" s="12" t="s">
        <v>70</v>
      </c>
      <c r="B7" s="13">
        <v>6.3496059750411282E-2</v>
      </c>
      <c r="C7" s="13">
        <v>4.6071629863988765E-2</v>
      </c>
      <c r="D7" s="13">
        <v>2.306247051322625E-3</v>
      </c>
      <c r="E7" s="13">
        <v>3.8927934093844286E-3</v>
      </c>
      <c r="F7" s="13">
        <v>0.11576673007510711</v>
      </c>
      <c r="H7" s="14" t="str">
        <f t="shared" si="2"/>
        <v>Partner App</v>
      </c>
      <c r="I7" s="18">
        <f t="shared" si="1"/>
        <v>6.3496059750411282E-2</v>
      </c>
      <c r="J7" s="19">
        <f t="shared" si="1"/>
        <v>4.6071629863988765E-2</v>
      </c>
      <c r="K7" s="19">
        <f t="shared" si="1"/>
        <v>2.306247051322625E-3</v>
      </c>
      <c r="L7" s="20">
        <f t="shared" si="1"/>
        <v>3.8927934093844286E-3</v>
      </c>
    </row>
    <row r="8" spans="1:12" ht="16.5" thickTop="1" thickBot="1" x14ac:dyDescent="0.3">
      <c r="A8" s="12" t="s">
        <v>40</v>
      </c>
      <c r="B8" s="13">
        <v>9.6337892927149532E-2</v>
      </c>
      <c r="C8" s="13">
        <v>6.7920115842382611E-2</v>
      </c>
      <c r="D8" s="13">
        <v>5.4979832664581261E-3</v>
      </c>
      <c r="E8" s="13">
        <v>1.2933041488102518E-2</v>
      </c>
      <c r="F8" s="13">
        <v>0.1826890335240928</v>
      </c>
      <c r="H8" s="14" t="str">
        <f t="shared" si="2"/>
        <v>Target.com</v>
      </c>
      <c r="I8" s="18">
        <f t="shared" si="1"/>
        <v>9.6337892927149532E-2</v>
      </c>
      <c r="J8" s="19">
        <f t="shared" si="1"/>
        <v>6.7920115842382611E-2</v>
      </c>
      <c r="K8" s="19">
        <f t="shared" si="1"/>
        <v>5.4979832664581261E-3</v>
      </c>
      <c r="L8" s="20">
        <f t="shared" si="1"/>
        <v>1.2933041488102518E-2</v>
      </c>
    </row>
    <row r="9" spans="1:12" ht="15.75" thickTop="1" x14ac:dyDescent="0.25">
      <c r="A9" s="12" t="s">
        <v>35</v>
      </c>
      <c r="B9" s="13">
        <v>0.12522098709469262</v>
      </c>
      <c r="C9" s="13">
        <v>9.1492740283116228E-2</v>
      </c>
      <c r="D9" s="13">
        <v>6.3042760790965081E-3</v>
      </c>
      <c r="E9" s="13">
        <v>1.2408404181197551E-2</v>
      </c>
      <c r="F9" s="13">
        <v>0.23542640763810288</v>
      </c>
      <c r="H9" s="14" t="str">
        <f t="shared" si="2"/>
        <v>Website</v>
      </c>
      <c r="I9" s="21">
        <f t="shared" si="1"/>
        <v>0.12522098709469262</v>
      </c>
      <c r="J9" s="22">
        <f t="shared" si="1"/>
        <v>9.1492740283116228E-2</v>
      </c>
      <c r="K9" s="22">
        <f t="shared" si="1"/>
        <v>6.3042760790965081E-3</v>
      </c>
      <c r="L9" s="23">
        <f t="shared" si="1"/>
        <v>1.2408404181197551E-2</v>
      </c>
    </row>
    <row r="10" spans="1:12" x14ac:dyDescent="0.25">
      <c r="A10" s="12" t="s">
        <v>2532</v>
      </c>
      <c r="B10" s="13">
        <v>0.52495717387974916</v>
      </c>
      <c r="C10" s="13">
        <v>0.3711684913156732</v>
      </c>
      <c r="D10" s="13">
        <v>2.6245886489133303E-2</v>
      </c>
      <c r="E10" s="13">
        <v>7.7628448315444312E-2</v>
      </c>
      <c r="F10" s="13">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0AC6-CA1A-453E-9FA5-2FDC6A2DB3BE}">
  <dimension ref="A2:E11"/>
  <sheetViews>
    <sheetView workbookViewId="0">
      <selection activeCell="AE6" sqref="AE6"/>
    </sheetView>
  </sheetViews>
  <sheetFormatPr defaultRowHeight="15" x14ac:dyDescent="0.25"/>
  <cols>
    <col min="1" max="1" width="13.42578125" bestFit="1" customWidth="1"/>
    <col min="2" max="2" width="14" bestFit="1" customWidth="1"/>
  </cols>
  <sheetData>
    <row r="2" spans="1:5" x14ac:dyDescent="0.25">
      <c r="E2" t="s">
        <v>2539</v>
      </c>
    </row>
    <row r="3" spans="1:5" x14ac:dyDescent="0.25">
      <c r="A3" s="11" t="s">
        <v>2531</v>
      </c>
      <c r="B3" t="s">
        <v>2540</v>
      </c>
    </row>
    <row r="4" spans="1:5" x14ac:dyDescent="0.25">
      <c r="A4" s="12">
        <v>1</v>
      </c>
      <c r="B4">
        <v>397</v>
      </c>
    </row>
    <row r="5" spans="1:5" x14ac:dyDescent="0.25">
      <c r="A5" s="12">
        <v>2</v>
      </c>
      <c r="B5">
        <v>540</v>
      </c>
    </row>
    <row r="6" spans="1:5" x14ac:dyDescent="0.25">
      <c r="A6" s="12">
        <v>3</v>
      </c>
      <c r="B6">
        <v>375</v>
      </c>
    </row>
    <row r="7" spans="1:5" x14ac:dyDescent="0.25">
      <c r="A7" s="12">
        <v>4</v>
      </c>
      <c r="B7">
        <v>246</v>
      </c>
    </row>
    <row r="8" spans="1:5" x14ac:dyDescent="0.25">
      <c r="A8" s="12">
        <v>5</v>
      </c>
      <c r="B8">
        <v>195</v>
      </c>
    </row>
    <row r="9" spans="1:5" x14ac:dyDescent="0.25">
      <c r="A9" s="12" t="s">
        <v>2541</v>
      </c>
      <c r="B9">
        <v>414</v>
      </c>
    </row>
    <row r="10" spans="1:5" x14ac:dyDescent="0.25">
      <c r="A10" s="12" t="s">
        <v>2542</v>
      </c>
      <c r="B10">
        <v>233</v>
      </c>
    </row>
    <row r="11" spans="1:5" x14ac:dyDescent="0.25">
      <c r="A11" s="12" t="s">
        <v>2532</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7C0CF-3FDE-4826-9386-645BBCF05022}">
  <dimension ref="A2:I25"/>
  <sheetViews>
    <sheetView workbookViewId="0">
      <selection activeCell="AE6" sqref="AE6"/>
    </sheetView>
  </sheetViews>
  <sheetFormatPr defaultRowHeight="15" x14ac:dyDescent="0.25"/>
  <cols>
    <col min="1" max="1" width="20.85546875" bestFit="1" customWidth="1"/>
    <col min="2" max="2" width="16.85546875" bestFit="1" customWidth="1"/>
    <col min="3" max="3" width="5.28515625" bestFit="1" customWidth="1"/>
    <col min="4" max="4" width="6.140625" bestFit="1" customWidth="1"/>
    <col min="5" max="5" width="9.28515625" bestFit="1" customWidth="1"/>
    <col min="6" max="6" width="11.28515625" bestFit="1" customWidth="1"/>
    <col min="8" max="8" width="13.42578125" bestFit="1" customWidth="1"/>
    <col min="9" max="9" width="15.5703125" bestFit="1" customWidth="1"/>
    <col min="10" max="10" width="5.28515625" bestFit="1" customWidth="1"/>
    <col min="11" max="11" width="6.140625" bestFit="1" customWidth="1"/>
    <col min="12" max="12" width="9.28515625" bestFit="1" customWidth="1"/>
    <col min="13" max="13" width="11.28515625" bestFit="1" customWidth="1"/>
  </cols>
  <sheetData>
    <row r="2" spans="1:9" x14ac:dyDescent="0.25">
      <c r="D2" t="s">
        <v>2543</v>
      </c>
      <c r="H2" t="s">
        <v>2555</v>
      </c>
    </row>
    <row r="3" spans="1:9" x14ac:dyDescent="0.25">
      <c r="A3" s="11" t="s">
        <v>2519</v>
      </c>
      <c r="B3" s="11" t="s">
        <v>2537</v>
      </c>
      <c r="H3" s="11" t="s">
        <v>2531</v>
      </c>
      <c r="I3" t="s">
        <v>2519</v>
      </c>
    </row>
    <row r="4" spans="1:9" x14ac:dyDescent="0.25">
      <c r="A4" s="11" t="s">
        <v>2531</v>
      </c>
      <c r="B4" t="s">
        <v>2533</v>
      </c>
      <c r="C4" t="s">
        <v>2534</v>
      </c>
      <c r="D4" t="s">
        <v>2535</v>
      </c>
      <c r="E4" t="s">
        <v>2536</v>
      </c>
      <c r="F4" t="s">
        <v>2532</v>
      </c>
      <c r="H4" s="12" t="s">
        <v>2533</v>
      </c>
      <c r="I4">
        <v>6272</v>
      </c>
    </row>
    <row r="5" spans="1:9" x14ac:dyDescent="0.25">
      <c r="A5" s="12" t="s">
        <v>171</v>
      </c>
      <c r="B5">
        <v>26</v>
      </c>
      <c r="C5">
        <v>35</v>
      </c>
      <c r="D5">
        <v>4</v>
      </c>
      <c r="F5">
        <v>65</v>
      </c>
      <c r="H5" s="12" t="s">
        <v>2534</v>
      </c>
      <c r="I5">
        <v>4672</v>
      </c>
    </row>
    <row r="6" spans="1:9" x14ac:dyDescent="0.25">
      <c r="A6" s="12" t="s">
        <v>81</v>
      </c>
      <c r="B6">
        <v>43</v>
      </c>
      <c r="C6">
        <v>90</v>
      </c>
      <c r="D6">
        <v>8</v>
      </c>
      <c r="E6">
        <v>6</v>
      </c>
      <c r="F6">
        <v>147</v>
      </c>
      <c r="H6" s="12" t="s">
        <v>2535</v>
      </c>
      <c r="I6">
        <v>317</v>
      </c>
    </row>
    <row r="7" spans="1:9" x14ac:dyDescent="0.25">
      <c r="A7" s="12" t="s">
        <v>76</v>
      </c>
      <c r="B7">
        <v>75</v>
      </c>
      <c r="C7">
        <v>103</v>
      </c>
      <c r="D7">
        <v>4</v>
      </c>
      <c r="E7">
        <v>6</v>
      </c>
      <c r="F7">
        <v>188</v>
      </c>
      <c r="H7" s="12" t="s">
        <v>2536</v>
      </c>
      <c r="I7">
        <v>736</v>
      </c>
    </row>
    <row r="8" spans="1:9" x14ac:dyDescent="0.25">
      <c r="A8" s="12" t="s">
        <v>128</v>
      </c>
      <c r="B8">
        <v>99</v>
      </c>
      <c r="C8">
        <v>69</v>
      </c>
      <c r="D8">
        <v>3</v>
      </c>
      <c r="E8">
        <v>24</v>
      </c>
      <c r="F8">
        <v>195</v>
      </c>
      <c r="H8" s="12" t="s">
        <v>2532</v>
      </c>
      <c r="I8">
        <v>11997</v>
      </c>
    </row>
    <row r="9" spans="1:9" x14ac:dyDescent="0.25">
      <c r="A9" s="12" t="s">
        <v>135</v>
      </c>
      <c r="B9">
        <v>127</v>
      </c>
      <c r="C9">
        <v>118</v>
      </c>
      <c r="D9">
        <v>13</v>
      </c>
      <c r="E9">
        <v>12</v>
      </c>
      <c r="F9">
        <v>270</v>
      </c>
    </row>
    <row r="10" spans="1:9" x14ac:dyDescent="0.25">
      <c r="A10" s="12" t="s">
        <v>30</v>
      </c>
      <c r="B10">
        <v>146</v>
      </c>
      <c r="C10">
        <v>94</v>
      </c>
      <c r="D10">
        <v>4</v>
      </c>
      <c r="E10">
        <v>28</v>
      </c>
      <c r="F10">
        <v>272</v>
      </c>
    </row>
    <row r="11" spans="1:9" x14ac:dyDescent="0.25">
      <c r="A11" s="12" t="s">
        <v>123</v>
      </c>
      <c r="B11">
        <v>153</v>
      </c>
      <c r="C11">
        <v>246</v>
      </c>
      <c r="D11">
        <v>30</v>
      </c>
      <c r="E11">
        <v>8</v>
      </c>
      <c r="F11">
        <v>437</v>
      </c>
    </row>
    <row r="12" spans="1:9" x14ac:dyDescent="0.25">
      <c r="A12" s="12" t="s">
        <v>67</v>
      </c>
      <c r="B12">
        <v>179</v>
      </c>
      <c r="C12">
        <v>76</v>
      </c>
      <c r="D12">
        <v>3</v>
      </c>
      <c r="F12">
        <v>258</v>
      </c>
    </row>
    <row r="13" spans="1:9" x14ac:dyDescent="0.25">
      <c r="A13" s="12" t="s">
        <v>146</v>
      </c>
      <c r="B13">
        <v>189</v>
      </c>
      <c r="C13">
        <v>168</v>
      </c>
      <c r="D13">
        <v>10</v>
      </c>
      <c r="E13">
        <v>31</v>
      </c>
      <c r="F13">
        <v>398</v>
      </c>
    </row>
    <row r="14" spans="1:9" x14ac:dyDescent="0.25">
      <c r="A14" s="12" t="s">
        <v>69</v>
      </c>
      <c r="B14">
        <v>234</v>
      </c>
      <c r="C14">
        <v>93</v>
      </c>
      <c r="D14">
        <v>19</v>
      </c>
      <c r="E14">
        <v>24</v>
      </c>
      <c r="F14">
        <v>370</v>
      </c>
    </row>
    <row r="15" spans="1:9" x14ac:dyDescent="0.25">
      <c r="A15" s="12" t="s">
        <v>42</v>
      </c>
      <c r="B15">
        <v>264</v>
      </c>
      <c r="C15">
        <v>318</v>
      </c>
      <c r="D15">
        <v>15</v>
      </c>
      <c r="E15">
        <v>9</v>
      </c>
      <c r="F15">
        <v>606</v>
      </c>
    </row>
    <row r="16" spans="1:9" x14ac:dyDescent="0.25">
      <c r="A16" s="12" t="s">
        <v>37</v>
      </c>
      <c r="B16">
        <v>296</v>
      </c>
      <c r="C16">
        <v>275</v>
      </c>
      <c r="D16">
        <v>9</v>
      </c>
      <c r="E16">
        <v>23</v>
      </c>
      <c r="F16">
        <v>603</v>
      </c>
    </row>
    <row r="17" spans="1:6" x14ac:dyDescent="0.25">
      <c r="A17" s="12" t="s">
        <v>16</v>
      </c>
      <c r="B17">
        <v>428</v>
      </c>
      <c r="C17">
        <v>293</v>
      </c>
      <c r="E17">
        <v>24</v>
      </c>
      <c r="F17">
        <v>745</v>
      </c>
    </row>
    <row r="18" spans="1:6" x14ac:dyDescent="0.25">
      <c r="A18" s="12" t="s">
        <v>32</v>
      </c>
      <c r="B18">
        <v>431</v>
      </c>
      <c r="C18">
        <v>187</v>
      </c>
      <c r="D18">
        <v>14</v>
      </c>
      <c r="E18">
        <v>15</v>
      </c>
      <c r="F18">
        <v>647</v>
      </c>
    </row>
    <row r="19" spans="1:6" x14ac:dyDescent="0.25">
      <c r="A19" s="12" t="s">
        <v>46</v>
      </c>
      <c r="B19">
        <v>445</v>
      </c>
      <c r="C19">
        <v>202</v>
      </c>
      <c r="D19">
        <v>14</v>
      </c>
      <c r="E19">
        <v>39</v>
      </c>
      <c r="F19">
        <v>700</v>
      </c>
    </row>
    <row r="20" spans="1:6" x14ac:dyDescent="0.25">
      <c r="A20" s="12" t="s">
        <v>54</v>
      </c>
      <c r="B20">
        <v>482</v>
      </c>
      <c r="C20">
        <v>295</v>
      </c>
      <c r="D20">
        <v>8</v>
      </c>
      <c r="E20">
        <v>22</v>
      </c>
      <c r="F20">
        <v>807</v>
      </c>
    </row>
    <row r="21" spans="1:6" x14ac:dyDescent="0.25">
      <c r="A21" s="12" t="s">
        <v>22</v>
      </c>
      <c r="B21">
        <v>568</v>
      </c>
      <c r="C21">
        <v>306</v>
      </c>
      <c r="D21">
        <v>22</v>
      </c>
      <c r="E21">
        <v>16</v>
      </c>
      <c r="F21">
        <v>912</v>
      </c>
    </row>
    <row r="22" spans="1:6" x14ac:dyDescent="0.25">
      <c r="A22" s="12" t="s">
        <v>26</v>
      </c>
      <c r="B22">
        <v>627</v>
      </c>
      <c r="C22">
        <v>393</v>
      </c>
      <c r="D22">
        <v>29</v>
      </c>
      <c r="E22">
        <v>137</v>
      </c>
      <c r="F22">
        <v>1186</v>
      </c>
    </row>
    <row r="23" spans="1:6" x14ac:dyDescent="0.25">
      <c r="A23" s="12" t="s">
        <v>39</v>
      </c>
      <c r="B23">
        <v>716</v>
      </c>
      <c r="C23">
        <v>598</v>
      </c>
      <c r="D23">
        <v>18</v>
      </c>
      <c r="E23">
        <v>214</v>
      </c>
      <c r="F23">
        <v>1546</v>
      </c>
    </row>
    <row r="24" spans="1:6" x14ac:dyDescent="0.25">
      <c r="A24" s="12" t="s">
        <v>44</v>
      </c>
      <c r="B24">
        <v>744</v>
      </c>
      <c r="C24">
        <v>713</v>
      </c>
      <c r="D24">
        <v>90</v>
      </c>
      <c r="E24">
        <v>98</v>
      </c>
      <c r="F24">
        <v>1645</v>
      </c>
    </row>
    <row r="25" spans="1:6" x14ac:dyDescent="0.25">
      <c r="A25" s="12" t="s">
        <v>2532</v>
      </c>
      <c r="B25">
        <v>6272</v>
      </c>
      <c r="C25">
        <v>4672</v>
      </c>
      <c r="D25">
        <v>317</v>
      </c>
      <c r="E25">
        <v>736</v>
      </c>
      <c r="F2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C779-273A-451C-ACA7-5B84FB5F3242}">
  <dimension ref="A2:N61"/>
  <sheetViews>
    <sheetView workbookViewId="0">
      <selection activeCell="AE6" sqref="AE6"/>
    </sheetView>
  </sheetViews>
  <sheetFormatPr defaultRowHeight="15" x14ac:dyDescent="0.25"/>
  <cols>
    <col min="1" max="1" width="25.7109375" bestFit="1" customWidth="1"/>
    <col min="2" max="2" width="22" bestFit="1" customWidth="1"/>
    <col min="3" max="3" width="15.5703125" bestFit="1" customWidth="1"/>
    <col min="4" max="4" width="14.85546875" bestFit="1" customWidth="1"/>
    <col min="8" max="8" width="9.7109375" bestFit="1" customWidth="1"/>
    <col min="9" max="9" width="22" bestFit="1" customWidth="1"/>
    <col min="10" max="10" width="5" bestFit="1" customWidth="1"/>
    <col min="12" max="12" width="20.7109375" bestFit="1" customWidth="1"/>
    <col min="13" max="13" width="22" bestFit="1" customWidth="1"/>
    <col min="14" max="14" width="9" bestFit="1" customWidth="1"/>
  </cols>
  <sheetData>
    <row r="2" spans="1:14" x14ac:dyDescent="0.25">
      <c r="E2" t="s">
        <v>2544</v>
      </c>
      <c r="H2" t="s">
        <v>2545</v>
      </c>
      <c r="L2" t="s">
        <v>2548</v>
      </c>
    </row>
    <row r="3" spans="1:14" x14ac:dyDescent="0.25">
      <c r="A3" s="11" t="s">
        <v>10</v>
      </c>
      <c r="B3" s="11" t="s">
        <v>11</v>
      </c>
      <c r="C3" t="s">
        <v>2519</v>
      </c>
      <c r="D3" t="s">
        <v>2520</v>
      </c>
      <c r="H3" t="s">
        <v>2546</v>
      </c>
      <c r="I3" t="s">
        <v>2547</v>
      </c>
      <c r="J3" t="s">
        <v>2526</v>
      </c>
      <c r="L3" t="s">
        <v>10</v>
      </c>
      <c r="M3" t="s">
        <v>11</v>
      </c>
      <c r="N3" t="s">
        <v>4</v>
      </c>
    </row>
    <row r="4" spans="1:14" x14ac:dyDescent="0.25">
      <c r="A4" t="s">
        <v>19</v>
      </c>
      <c r="B4" t="s">
        <v>115</v>
      </c>
      <c r="C4">
        <v>579</v>
      </c>
      <c r="D4">
        <v>31884.999999999996</v>
      </c>
      <c r="H4" t="str" cm="1">
        <f t="array" ref="H4:J4">IF(A4:C4="","",A4:C4)</f>
        <v>California</v>
      </c>
      <c r="I4" t="str">
        <v>Alameda County</v>
      </c>
      <c r="J4">
        <v>579</v>
      </c>
      <c r="L4" t="str" cm="1">
        <f t="array" ref="L4:M4">IF(A4:B4="","",A4:B4)</f>
        <v>California</v>
      </c>
      <c r="M4" t="str">
        <v>Alameda County</v>
      </c>
      <c r="N4">
        <f>IF(D4="","",D4)</f>
        <v>31884.999999999996</v>
      </c>
    </row>
    <row r="5" spans="1:14" x14ac:dyDescent="0.25">
      <c r="A5" t="s">
        <v>19</v>
      </c>
      <c r="B5" t="s">
        <v>20</v>
      </c>
      <c r="C5">
        <v>1</v>
      </c>
      <c r="D5">
        <v>10.9</v>
      </c>
      <c r="H5" t="str" cm="1">
        <f t="array" ref="H5:J5">IF(A5:C5="","",A5:C5)</f>
        <v>California</v>
      </c>
      <c r="I5" t="str">
        <v>Alpine County</v>
      </c>
      <c r="J5">
        <v>1</v>
      </c>
      <c r="L5" t="str" cm="1">
        <f t="array" ref="L5:M5">IF(A5:B5="","",A5:B5)</f>
        <v>California</v>
      </c>
      <c r="M5" t="str">
        <v>Alpine County</v>
      </c>
      <c r="N5">
        <f t="shared" ref="N5:N61" si="0">IF(D5="","",D5)</f>
        <v>10.9</v>
      </c>
    </row>
    <row r="6" spans="1:14" x14ac:dyDescent="0.25">
      <c r="A6" t="s">
        <v>19</v>
      </c>
      <c r="B6" t="s">
        <v>641</v>
      </c>
      <c r="C6">
        <v>9</v>
      </c>
      <c r="D6">
        <v>800.3</v>
      </c>
      <c r="H6" t="str" cm="1">
        <f t="array" ref="H6:J6">IF(A6:C6="","",A6:C6)</f>
        <v>California</v>
      </c>
      <c r="I6" t="str">
        <v>Amador County</v>
      </c>
      <c r="J6">
        <v>9</v>
      </c>
      <c r="L6" t="str" cm="1">
        <f t="array" ref="L6:M6">IF(A6:B6="","",A6:B6)</f>
        <v>California</v>
      </c>
      <c r="M6" t="str">
        <v>Amador County</v>
      </c>
      <c r="N6">
        <f t="shared" si="0"/>
        <v>800.3</v>
      </c>
    </row>
    <row r="7" spans="1:14" x14ac:dyDescent="0.25">
      <c r="A7" t="s">
        <v>19</v>
      </c>
      <c r="B7" t="s">
        <v>967</v>
      </c>
      <c r="C7">
        <v>35</v>
      </c>
      <c r="D7">
        <v>1062.5999999999999</v>
      </c>
      <c r="H7" t="str" cm="1">
        <f t="array" ref="H7:J7">IF(A7:C7="","",A7:C7)</f>
        <v>California</v>
      </c>
      <c r="I7" t="str">
        <v>Butte County</v>
      </c>
      <c r="J7">
        <v>35</v>
      </c>
      <c r="L7" t="str" cm="1">
        <f t="array" ref="L7:M7">IF(A7:B7="","",A7:B7)</f>
        <v>California</v>
      </c>
      <c r="M7" t="str">
        <v>Butte County</v>
      </c>
      <c r="N7">
        <f t="shared" si="0"/>
        <v>1062.5999999999999</v>
      </c>
    </row>
    <row r="8" spans="1:14" x14ac:dyDescent="0.25">
      <c r="A8" t="s">
        <v>19</v>
      </c>
      <c r="B8" t="s">
        <v>84</v>
      </c>
      <c r="C8">
        <v>12</v>
      </c>
      <c r="D8">
        <v>326.20000000000005</v>
      </c>
      <c r="H8" t="str" cm="1">
        <f t="array" ref="H8:J8">IF(A8:C8="","",A8:C8)</f>
        <v>California</v>
      </c>
      <c r="I8" t="str">
        <v>Calaveras County</v>
      </c>
      <c r="J8">
        <v>12</v>
      </c>
      <c r="L8" t="str" cm="1">
        <f t="array" ref="L8:M8">IF(A8:B8="","",A8:B8)</f>
        <v>California</v>
      </c>
      <c r="M8" t="str">
        <v>Calaveras County</v>
      </c>
      <c r="N8">
        <f t="shared" si="0"/>
        <v>326.20000000000005</v>
      </c>
    </row>
    <row r="9" spans="1:14" x14ac:dyDescent="0.25">
      <c r="A9" t="s">
        <v>19</v>
      </c>
      <c r="B9" t="s">
        <v>1383</v>
      </c>
      <c r="C9">
        <v>4</v>
      </c>
      <c r="D9">
        <v>167.5</v>
      </c>
      <c r="H9" t="str" cm="1">
        <f t="array" ref="H9:J9">IF(A9:C9="","",A9:C9)</f>
        <v>California</v>
      </c>
      <c r="I9" t="str">
        <v>Colusa County</v>
      </c>
      <c r="J9">
        <v>4</v>
      </c>
      <c r="L9" t="str" cm="1">
        <f t="array" ref="L9:M9">IF(A9:B9="","",A9:B9)</f>
        <v>California</v>
      </c>
      <c r="M9" t="str">
        <v>Colusa County</v>
      </c>
      <c r="N9">
        <f t="shared" si="0"/>
        <v>167.5</v>
      </c>
    </row>
    <row r="10" spans="1:14" x14ac:dyDescent="0.25">
      <c r="A10" t="s">
        <v>19</v>
      </c>
      <c r="B10" t="s">
        <v>24</v>
      </c>
      <c r="C10">
        <v>341</v>
      </c>
      <c r="D10">
        <v>16168.7</v>
      </c>
      <c r="H10" t="str" cm="1">
        <f t="array" ref="H10:J10">IF(A10:C10="","",A10:C10)</f>
        <v>California</v>
      </c>
      <c r="I10" t="str">
        <v>Contra Costa County</v>
      </c>
      <c r="J10">
        <v>341</v>
      </c>
      <c r="L10" t="str" cm="1">
        <f t="array" ref="L10:M10">IF(A10:B10="","",A10:B10)</f>
        <v>California</v>
      </c>
      <c r="M10" t="str">
        <v>Contra Costa County</v>
      </c>
      <c r="N10">
        <f t="shared" si="0"/>
        <v>16168.7</v>
      </c>
    </row>
    <row r="11" spans="1:14" x14ac:dyDescent="0.25">
      <c r="A11" t="s">
        <v>19</v>
      </c>
      <c r="B11" t="s">
        <v>2204</v>
      </c>
      <c r="C11">
        <v>13</v>
      </c>
      <c r="D11">
        <v>322.40000000000003</v>
      </c>
      <c r="H11" t="str" cm="1">
        <f t="array" ref="H11:J11">IF(A11:C11="","",A11:C11)</f>
        <v>California</v>
      </c>
      <c r="I11" t="str">
        <v>Del Norte County</v>
      </c>
      <c r="J11">
        <v>13</v>
      </c>
      <c r="L11" t="str" cm="1">
        <f t="array" ref="L11:M11">IF(A11:B11="","",A11:B11)</f>
        <v>California</v>
      </c>
      <c r="M11" t="str">
        <v>Del Norte County</v>
      </c>
      <c r="N11">
        <f t="shared" si="0"/>
        <v>322.40000000000003</v>
      </c>
    </row>
    <row r="12" spans="1:14" x14ac:dyDescent="0.25">
      <c r="A12" t="s">
        <v>19</v>
      </c>
      <c r="B12" t="s">
        <v>437</v>
      </c>
      <c r="C12">
        <v>31</v>
      </c>
      <c r="D12">
        <v>2092.8000000000002</v>
      </c>
      <c r="H12" t="str" cm="1">
        <f t="array" ref="H12:J12">IF(A12:C12="","",A12:C12)</f>
        <v>California</v>
      </c>
      <c r="I12" t="str">
        <v>El Dorado County</v>
      </c>
      <c r="J12">
        <v>31</v>
      </c>
      <c r="L12" t="str" cm="1">
        <f t="array" ref="L12:M12">IF(A12:B12="","",A12:B12)</f>
        <v>California</v>
      </c>
      <c r="M12" t="str">
        <v>El Dorado County</v>
      </c>
      <c r="N12">
        <f t="shared" si="0"/>
        <v>2092.8000000000002</v>
      </c>
    </row>
    <row r="13" spans="1:14" x14ac:dyDescent="0.25">
      <c r="A13" t="s">
        <v>19</v>
      </c>
      <c r="B13" t="s">
        <v>28</v>
      </c>
      <c r="C13">
        <v>279</v>
      </c>
      <c r="D13">
        <v>12662.500000000002</v>
      </c>
      <c r="H13" t="str" cm="1">
        <f t="array" ref="H13:J13">IF(A13:C13="","",A13:C13)</f>
        <v>California</v>
      </c>
      <c r="I13" t="str">
        <v>Fresno County</v>
      </c>
      <c r="J13">
        <v>279</v>
      </c>
      <c r="L13" t="str" cm="1">
        <f t="array" ref="L13:M13">IF(A13:B13="","",A13:B13)</f>
        <v>California</v>
      </c>
      <c r="M13" t="str">
        <v>Fresno County</v>
      </c>
      <c r="N13">
        <f t="shared" si="0"/>
        <v>12662.500000000002</v>
      </c>
    </row>
    <row r="14" spans="1:14" x14ac:dyDescent="0.25">
      <c r="A14" t="s">
        <v>19</v>
      </c>
      <c r="B14" t="s">
        <v>208</v>
      </c>
      <c r="C14">
        <v>9</v>
      </c>
      <c r="D14">
        <v>343.2</v>
      </c>
      <c r="H14" t="str" cm="1">
        <f t="array" ref="H14:J14">IF(A14:C14="","",A14:C14)</f>
        <v>California</v>
      </c>
      <c r="I14" t="str">
        <v>Glenn County</v>
      </c>
      <c r="J14">
        <v>9</v>
      </c>
      <c r="L14" t="str" cm="1">
        <f t="array" ref="L14:M14">IF(A14:B14="","",A14:B14)</f>
        <v>California</v>
      </c>
      <c r="M14" t="str">
        <v>Glenn County</v>
      </c>
      <c r="N14">
        <f t="shared" si="0"/>
        <v>343.2</v>
      </c>
    </row>
    <row r="15" spans="1:14" x14ac:dyDescent="0.25">
      <c r="A15" t="s">
        <v>19</v>
      </c>
      <c r="B15" t="s">
        <v>587</v>
      </c>
      <c r="C15">
        <v>49</v>
      </c>
      <c r="D15">
        <v>2188.2999999999997</v>
      </c>
      <c r="H15" t="str" cm="1">
        <f t="array" ref="H15:J15">IF(A15:C15="","",A15:C15)</f>
        <v>California</v>
      </c>
      <c r="I15" t="str">
        <v>Humboldt County</v>
      </c>
      <c r="J15">
        <v>49</v>
      </c>
      <c r="L15" t="str" cm="1">
        <f t="array" ref="L15:M15">IF(A15:B15="","",A15:B15)</f>
        <v>California</v>
      </c>
      <c r="M15" t="str">
        <v>Humboldt County</v>
      </c>
      <c r="N15">
        <f t="shared" si="0"/>
        <v>2188.2999999999997</v>
      </c>
    </row>
    <row r="16" spans="1:14" x14ac:dyDescent="0.25">
      <c r="A16" t="s">
        <v>19</v>
      </c>
      <c r="B16" t="s">
        <v>331</v>
      </c>
      <c r="C16">
        <v>59</v>
      </c>
      <c r="D16">
        <v>2661.5999999999995</v>
      </c>
      <c r="H16" t="str" cm="1">
        <f t="array" ref="H16:J16">IF(A16:C16="","",A16:C16)</f>
        <v>California</v>
      </c>
      <c r="I16" t="str">
        <v>Imperial County</v>
      </c>
      <c r="J16">
        <v>59</v>
      </c>
      <c r="L16" t="str" cm="1">
        <f t="array" ref="L16:M16">IF(A16:B16="","",A16:B16)</f>
        <v>California</v>
      </c>
      <c r="M16" t="str">
        <v>Imperial County</v>
      </c>
      <c r="N16">
        <f t="shared" si="0"/>
        <v>2661.5999999999995</v>
      </c>
    </row>
    <row r="17" spans="1:14" x14ac:dyDescent="0.25">
      <c r="A17" t="s">
        <v>19</v>
      </c>
      <c r="B17" t="s">
        <v>86</v>
      </c>
      <c r="C17">
        <v>8</v>
      </c>
      <c r="D17">
        <v>887.5</v>
      </c>
      <c r="H17" t="str" cm="1">
        <f t="array" ref="H17:J17">IF(A17:C17="","",A17:C17)</f>
        <v>California</v>
      </c>
      <c r="I17" t="str">
        <v>Inyo County</v>
      </c>
      <c r="J17">
        <v>8</v>
      </c>
      <c r="L17" t="str" cm="1">
        <f t="array" ref="L17:M17">IF(A17:B17="","",A17:B17)</f>
        <v>California</v>
      </c>
      <c r="M17" t="str">
        <v>Inyo County</v>
      </c>
      <c r="N17">
        <f t="shared" si="0"/>
        <v>887.5</v>
      </c>
    </row>
    <row r="18" spans="1:14" x14ac:dyDescent="0.25">
      <c r="A18" t="s">
        <v>19</v>
      </c>
      <c r="B18" t="s">
        <v>147</v>
      </c>
      <c r="C18">
        <v>222</v>
      </c>
      <c r="D18">
        <v>11354.199999999993</v>
      </c>
      <c r="H18" t="str" cm="1">
        <f t="array" ref="H18:J18">IF(A18:C18="","",A18:C18)</f>
        <v>California</v>
      </c>
      <c r="I18" t="str">
        <v>Kern County</v>
      </c>
      <c r="J18">
        <v>222</v>
      </c>
      <c r="L18" t="str" cm="1">
        <f t="array" ref="L18:M18">IF(A18:B18="","",A18:B18)</f>
        <v>California</v>
      </c>
      <c r="M18" t="str">
        <v>Kern County</v>
      </c>
      <c r="N18">
        <f t="shared" si="0"/>
        <v>11354.199999999993</v>
      </c>
    </row>
    <row r="19" spans="1:14" x14ac:dyDescent="0.25">
      <c r="A19" t="s">
        <v>19</v>
      </c>
      <c r="B19" t="s">
        <v>334</v>
      </c>
      <c r="C19">
        <v>36</v>
      </c>
      <c r="D19">
        <v>1558.4</v>
      </c>
      <c r="H19" t="str" cm="1">
        <f t="array" ref="H19:J19">IF(A19:C19="","",A19:C19)</f>
        <v>California</v>
      </c>
      <c r="I19" t="str">
        <v>Kings County</v>
      </c>
      <c r="J19">
        <v>36</v>
      </c>
      <c r="L19" t="str" cm="1">
        <f t="array" ref="L19:M19">IF(A19:B19="","",A19:B19)</f>
        <v>California</v>
      </c>
      <c r="M19" t="str">
        <v>Kings County</v>
      </c>
      <c r="N19">
        <f t="shared" si="0"/>
        <v>1558.4</v>
      </c>
    </row>
    <row r="20" spans="1:14" x14ac:dyDescent="0.25">
      <c r="A20" t="s">
        <v>19</v>
      </c>
      <c r="B20" t="s">
        <v>949</v>
      </c>
      <c r="C20">
        <v>30</v>
      </c>
      <c r="D20">
        <v>2223.9</v>
      </c>
      <c r="H20" t="str" cm="1">
        <f t="array" ref="H20:J20">IF(A20:C20="","",A20:C20)</f>
        <v>California</v>
      </c>
      <c r="I20" t="str">
        <v>Lake County</v>
      </c>
      <c r="J20">
        <v>30</v>
      </c>
      <c r="L20" t="str" cm="1">
        <f t="array" ref="L20:M20">IF(A20:B20="","",A20:B20)</f>
        <v>California</v>
      </c>
      <c r="M20" t="str">
        <v>Lake County</v>
      </c>
      <c r="N20">
        <f t="shared" si="0"/>
        <v>2223.9</v>
      </c>
    </row>
    <row r="21" spans="1:14" x14ac:dyDescent="0.25">
      <c r="A21" t="s">
        <v>19</v>
      </c>
      <c r="B21" t="s">
        <v>1426</v>
      </c>
      <c r="C21">
        <v>1</v>
      </c>
      <c r="D21">
        <v>26.2</v>
      </c>
      <c r="H21" t="str" cm="1">
        <f t="array" ref="H21:J21">IF(A21:C21="","",A21:C21)</f>
        <v>California</v>
      </c>
      <c r="I21" t="str">
        <v>Lassen County</v>
      </c>
      <c r="J21">
        <v>1</v>
      </c>
      <c r="L21" t="str" cm="1">
        <f t="array" ref="L21:M21">IF(A21:B21="","",A21:B21)</f>
        <v>California</v>
      </c>
      <c r="M21" t="str">
        <v>Lassen County</v>
      </c>
      <c r="N21">
        <f t="shared" si="0"/>
        <v>26.2</v>
      </c>
    </row>
    <row r="22" spans="1:14" x14ac:dyDescent="0.25">
      <c r="A22" t="s">
        <v>19</v>
      </c>
      <c r="B22" t="s">
        <v>33</v>
      </c>
      <c r="C22">
        <v>3991</v>
      </c>
      <c r="D22">
        <v>215551.19999999981</v>
      </c>
      <c r="H22" t="str" cm="1">
        <f t="array" ref="H22:J22">IF(A22:C22="","",A22:C22)</f>
        <v>California</v>
      </c>
      <c r="I22" t="str">
        <v>Los Angeles County</v>
      </c>
      <c r="J22">
        <v>3991</v>
      </c>
      <c r="L22" t="str" cm="1">
        <f t="array" ref="L22:M22">IF(A22:B22="","",A22:B22)</f>
        <v>California</v>
      </c>
      <c r="M22" t="str">
        <v>Los Angeles County</v>
      </c>
      <c r="N22">
        <f t="shared" si="0"/>
        <v>215551.19999999981</v>
      </c>
    </row>
    <row r="23" spans="1:14" x14ac:dyDescent="0.25">
      <c r="A23" t="s">
        <v>19</v>
      </c>
      <c r="B23" t="s">
        <v>364</v>
      </c>
      <c r="C23">
        <v>45</v>
      </c>
      <c r="D23">
        <v>2687.3999999999996</v>
      </c>
      <c r="H23" t="str" cm="1">
        <f t="array" ref="H23:J23">IF(A23:C23="","",A23:C23)</f>
        <v>California</v>
      </c>
      <c r="I23" t="str">
        <v>Madera County</v>
      </c>
      <c r="J23">
        <v>45</v>
      </c>
      <c r="L23" t="str" cm="1">
        <f t="array" ref="L23:M23">IF(A23:B23="","",A23:B23)</f>
        <v>California</v>
      </c>
      <c r="M23" t="str">
        <v>Madera County</v>
      </c>
      <c r="N23">
        <f t="shared" si="0"/>
        <v>2687.3999999999996</v>
      </c>
    </row>
    <row r="24" spans="1:14" x14ac:dyDescent="0.25">
      <c r="A24" t="s">
        <v>19</v>
      </c>
      <c r="B24" t="s">
        <v>545</v>
      </c>
      <c r="C24">
        <v>39</v>
      </c>
      <c r="D24">
        <v>1463.3000000000002</v>
      </c>
      <c r="H24" t="str" cm="1">
        <f t="array" ref="H24:J24">IF(A24:C24="","",A24:C24)</f>
        <v>California</v>
      </c>
      <c r="I24" t="str">
        <v>Marin County</v>
      </c>
      <c r="J24">
        <v>39</v>
      </c>
      <c r="L24" t="str" cm="1">
        <f t="array" ref="L24:M24">IF(A24:B24="","",A24:B24)</f>
        <v>California</v>
      </c>
      <c r="M24" t="str">
        <v>Marin County</v>
      </c>
      <c r="N24">
        <f t="shared" si="0"/>
        <v>1463.3000000000002</v>
      </c>
    </row>
    <row r="25" spans="1:14" x14ac:dyDescent="0.25">
      <c r="A25" t="s">
        <v>19</v>
      </c>
      <c r="B25" t="s">
        <v>416</v>
      </c>
      <c r="C25">
        <v>6</v>
      </c>
      <c r="D25">
        <v>445.79999999999995</v>
      </c>
      <c r="H25" t="str" cm="1">
        <f t="array" ref="H25:J25">IF(A25:C25="","",A25:C25)</f>
        <v>California</v>
      </c>
      <c r="I25" t="str">
        <v>Mariposa County</v>
      </c>
      <c r="J25">
        <v>6</v>
      </c>
      <c r="L25" t="str" cm="1">
        <f t="array" ref="L25:M25">IF(A25:B25="","",A25:B25)</f>
        <v>California</v>
      </c>
      <c r="M25" t="str">
        <v>Mariposa County</v>
      </c>
      <c r="N25">
        <f t="shared" si="0"/>
        <v>445.79999999999995</v>
      </c>
    </row>
    <row r="26" spans="1:14" x14ac:dyDescent="0.25">
      <c r="A26" t="s">
        <v>19</v>
      </c>
      <c r="B26" t="s">
        <v>258</v>
      </c>
      <c r="C26">
        <v>9</v>
      </c>
      <c r="D26">
        <v>273.59999999999997</v>
      </c>
      <c r="H26" t="str" cm="1">
        <f t="array" ref="H26:J26">IF(A26:C26="","",A26:C26)</f>
        <v>California</v>
      </c>
      <c r="I26" t="str">
        <v>Mendocino County</v>
      </c>
      <c r="J26">
        <v>9</v>
      </c>
      <c r="L26" t="str" cm="1">
        <f t="array" ref="L26:M26">IF(A26:B26="","",A26:B26)</f>
        <v>California</v>
      </c>
      <c r="M26" t="str">
        <v>Mendocino County</v>
      </c>
      <c r="N26">
        <f t="shared" si="0"/>
        <v>273.59999999999997</v>
      </c>
    </row>
    <row r="27" spans="1:14" x14ac:dyDescent="0.25">
      <c r="A27" t="s">
        <v>19</v>
      </c>
      <c r="B27" t="s">
        <v>186</v>
      </c>
      <c r="C27">
        <v>60</v>
      </c>
      <c r="D27">
        <v>2690.4</v>
      </c>
      <c r="H27" t="str" cm="1">
        <f t="array" ref="H27:J27">IF(A27:C27="","",A27:C27)</f>
        <v>California</v>
      </c>
      <c r="I27" t="str">
        <v>Merced County</v>
      </c>
      <c r="J27">
        <v>60</v>
      </c>
      <c r="L27" t="str" cm="1">
        <f t="array" ref="L27:M27">IF(A27:B27="","",A27:B27)</f>
        <v>California</v>
      </c>
      <c r="M27" t="str">
        <v>Merced County</v>
      </c>
      <c r="N27">
        <f t="shared" si="0"/>
        <v>2690.4</v>
      </c>
    </row>
    <row r="28" spans="1:14" x14ac:dyDescent="0.25">
      <c r="A28" t="s">
        <v>19</v>
      </c>
      <c r="B28" t="s">
        <v>392</v>
      </c>
      <c r="C28">
        <v>2</v>
      </c>
      <c r="D28">
        <v>28.4</v>
      </c>
      <c r="H28" t="str" cm="1">
        <f t="array" ref="H28:J28">IF(A28:C28="","",A28:C28)</f>
        <v>California</v>
      </c>
      <c r="I28" t="str">
        <v>Modoc County</v>
      </c>
      <c r="J28">
        <v>2</v>
      </c>
      <c r="L28" t="str" cm="1">
        <f t="array" ref="L28:M28">IF(A28:B28="","",A28:B28)</f>
        <v>California</v>
      </c>
      <c r="M28" t="str">
        <v>Modoc County</v>
      </c>
      <c r="N28">
        <f t="shared" si="0"/>
        <v>28.4</v>
      </c>
    </row>
    <row r="29" spans="1:14" x14ac:dyDescent="0.25">
      <c r="A29" t="s">
        <v>19</v>
      </c>
      <c r="B29" t="s">
        <v>670</v>
      </c>
      <c r="C29">
        <v>4</v>
      </c>
      <c r="D29">
        <v>204.8</v>
      </c>
      <c r="H29" t="str" cm="1">
        <f t="array" ref="H29:J29">IF(A29:C29="","",A29:C29)</f>
        <v>California</v>
      </c>
      <c r="I29" t="str">
        <v>Mono County</v>
      </c>
      <c r="J29">
        <v>4</v>
      </c>
      <c r="L29" t="str" cm="1">
        <f t="array" ref="L29:M29">IF(A29:B29="","",A29:B29)</f>
        <v>California</v>
      </c>
      <c r="M29" t="str">
        <v>Mono County</v>
      </c>
      <c r="N29">
        <f t="shared" si="0"/>
        <v>204.8</v>
      </c>
    </row>
    <row r="30" spans="1:14" x14ac:dyDescent="0.25">
      <c r="A30" t="s">
        <v>19</v>
      </c>
      <c r="B30" t="s">
        <v>802</v>
      </c>
      <c r="C30">
        <v>31</v>
      </c>
      <c r="D30">
        <v>1607.8999999999999</v>
      </c>
      <c r="H30" t="str" cm="1">
        <f t="array" ref="H30:J30">IF(A30:C30="","",A30:C30)</f>
        <v>California</v>
      </c>
      <c r="I30" t="str">
        <v>Monterey County</v>
      </c>
      <c r="J30">
        <v>31</v>
      </c>
      <c r="L30" t="str" cm="1">
        <f t="array" ref="L30:M30">IF(A30:B30="","",A30:B30)</f>
        <v>California</v>
      </c>
      <c r="M30" t="str">
        <v>Monterey County</v>
      </c>
      <c r="N30">
        <f t="shared" si="0"/>
        <v>1607.8999999999999</v>
      </c>
    </row>
    <row r="31" spans="1:14" x14ac:dyDescent="0.25">
      <c r="A31" t="s">
        <v>19</v>
      </c>
      <c r="B31" t="s">
        <v>98</v>
      </c>
      <c r="C31">
        <v>88</v>
      </c>
      <c r="D31">
        <v>6444.9</v>
      </c>
      <c r="H31" t="str" cm="1">
        <f t="array" ref="H31:J31">IF(A31:C31="","",A31:C31)</f>
        <v>California</v>
      </c>
      <c r="I31" t="str">
        <v>Napa County</v>
      </c>
      <c r="J31">
        <v>88</v>
      </c>
      <c r="L31" t="str" cm="1">
        <f t="array" ref="L31:M31">IF(A31:B31="","",A31:B31)</f>
        <v>California</v>
      </c>
      <c r="M31" t="str">
        <v>Napa County</v>
      </c>
      <c r="N31">
        <f t="shared" si="0"/>
        <v>6444.9</v>
      </c>
    </row>
    <row r="32" spans="1:14" x14ac:dyDescent="0.25">
      <c r="A32" t="s">
        <v>19</v>
      </c>
      <c r="B32" t="s">
        <v>49</v>
      </c>
      <c r="C32">
        <v>25</v>
      </c>
      <c r="D32">
        <v>1809.3</v>
      </c>
      <c r="H32" t="str" cm="1">
        <f t="array" ref="H32:J32">IF(A32:C32="","",A32:C32)</f>
        <v>California</v>
      </c>
      <c r="I32" t="str">
        <v>Nevada County</v>
      </c>
      <c r="J32">
        <v>25</v>
      </c>
      <c r="L32" t="str" cm="1">
        <f t="array" ref="L32:M32">IF(A32:B32="","",A32:B32)</f>
        <v>California</v>
      </c>
      <c r="M32" t="str">
        <v>Nevada County</v>
      </c>
      <c r="N32">
        <f t="shared" si="0"/>
        <v>1809.3</v>
      </c>
    </row>
    <row r="33" spans="1:14" x14ac:dyDescent="0.25">
      <c r="A33" t="s">
        <v>19</v>
      </c>
      <c r="B33" t="s">
        <v>188</v>
      </c>
      <c r="C33">
        <v>178</v>
      </c>
      <c r="D33">
        <v>9680.399999999996</v>
      </c>
      <c r="H33" t="str" cm="1">
        <f t="array" ref="H33:J33">IF(A33:C33="","",A33:C33)</f>
        <v>California</v>
      </c>
      <c r="I33" t="str">
        <v>Orange County</v>
      </c>
      <c r="J33">
        <v>178</v>
      </c>
      <c r="L33" t="str" cm="1">
        <f t="array" ref="L33:M33">IF(A33:B33="","",A33:B33)</f>
        <v>California</v>
      </c>
      <c r="M33" t="str">
        <v>Orange County</v>
      </c>
      <c r="N33">
        <f t="shared" si="0"/>
        <v>9680.399999999996</v>
      </c>
    </row>
    <row r="34" spans="1:14" x14ac:dyDescent="0.25">
      <c r="A34" t="s">
        <v>19</v>
      </c>
      <c r="B34" t="s">
        <v>52</v>
      </c>
      <c r="C34">
        <v>141</v>
      </c>
      <c r="D34">
        <v>9414.7999999999993</v>
      </c>
      <c r="H34" t="str" cm="1">
        <f t="array" ref="H34:J34">IF(A34:C34="","",A34:C34)</f>
        <v>California</v>
      </c>
      <c r="I34" t="str">
        <v>Placer County</v>
      </c>
      <c r="J34">
        <v>141</v>
      </c>
      <c r="L34" t="str" cm="1">
        <f t="array" ref="L34:M34">IF(A34:B34="","",A34:B34)</f>
        <v>California</v>
      </c>
      <c r="M34" t="str">
        <v>Placer County</v>
      </c>
      <c r="N34">
        <f t="shared" si="0"/>
        <v>9414.7999999999993</v>
      </c>
    </row>
    <row r="35" spans="1:14" x14ac:dyDescent="0.25">
      <c r="A35" t="s">
        <v>19</v>
      </c>
      <c r="B35" t="s">
        <v>338</v>
      </c>
      <c r="C35">
        <v>6</v>
      </c>
      <c r="D35">
        <v>206.1</v>
      </c>
      <c r="H35" t="str" cm="1">
        <f t="array" ref="H35:J35">IF(A35:C35="","",A35:C35)</f>
        <v>California</v>
      </c>
      <c r="I35" t="str">
        <v>Plumas County</v>
      </c>
      <c r="J35">
        <v>6</v>
      </c>
      <c r="L35" t="str" cm="1">
        <f t="array" ref="L35:M35">IF(A35:B35="","",A35:B35)</f>
        <v>California</v>
      </c>
      <c r="M35" t="str">
        <v>Plumas County</v>
      </c>
      <c r="N35">
        <f t="shared" si="0"/>
        <v>206.1</v>
      </c>
    </row>
    <row r="36" spans="1:14" x14ac:dyDescent="0.25">
      <c r="A36" t="s">
        <v>19</v>
      </c>
      <c r="B36" t="s">
        <v>158</v>
      </c>
      <c r="C36">
        <v>178</v>
      </c>
      <c r="D36">
        <v>7691.3</v>
      </c>
      <c r="H36" t="str" cm="1">
        <f t="array" ref="H36:J36">IF(A36:C36="","",A36:C36)</f>
        <v>California</v>
      </c>
      <c r="I36" t="str">
        <v>Riverside County</v>
      </c>
      <c r="J36">
        <v>178</v>
      </c>
      <c r="L36" t="str" cm="1">
        <f t="array" ref="L36:M36">IF(A36:B36="","",A36:B36)</f>
        <v>California</v>
      </c>
      <c r="M36" t="str">
        <v>Riverside County</v>
      </c>
      <c r="N36">
        <f t="shared" si="0"/>
        <v>7691.3</v>
      </c>
    </row>
    <row r="37" spans="1:14" x14ac:dyDescent="0.25">
      <c r="A37" t="s">
        <v>19</v>
      </c>
      <c r="B37" t="s">
        <v>55</v>
      </c>
      <c r="C37">
        <v>699</v>
      </c>
      <c r="D37">
        <v>37784.900000000016</v>
      </c>
      <c r="H37" t="str" cm="1">
        <f t="array" ref="H37:J37">IF(A37:C37="","",A37:C37)</f>
        <v>California</v>
      </c>
      <c r="I37" t="str">
        <v>Sacramento County</v>
      </c>
      <c r="J37">
        <v>699</v>
      </c>
      <c r="L37" t="str" cm="1">
        <f t="array" ref="L37:M37">IF(A37:B37="","",A37:B37)</f>
        <v>California</v>
      </c>
      <c r="M37" t="str">
        <v>Sacramento County</v>
      </c>
      <c r="N37">
        <f t="shared" si="0"/>
        <v>37784.900000000016</v>
      </c>
    </row>
    <row r="38" spans="1:14" x14ac:dyDescent="0.25">
      <c r="A38" t="s">
        <v>19</v>
      </c>
      <c r="B38" t="s">
        <v>342</v>
      </c>
      <c r="C38">
        <v>23</v>
      </c>
      <c r="D38">
        <v>1129.7</v>
      </c>
      <c r="H38" t="str" cm="1">
        <f t="array" ref="H38:J38">IF(A38:C38="","",A38:C38)</f>
        <v>California</v>
      </c>
      <c r="I38" t="str">
        <v>San Benito County</v>
      </c>
      <c r="J38">
        <v>23</v>
      </c>
      <c r="L38" t="str" cm="1">
        <f t="array" ref="L38:M38">IF(A38:B38="","",A38:B38)</f>
        <v>California</v>
      </c>
      <c r="M38" t="str">
        <v>San Benito County</v>
      </c>
      <c r="N38">
        <f t="shared" si="0"/>
        <v>1129.7</v>
      </c>
    </row>
    <row r="39" spans="1:14" x14ac:dyDescent="0.25">
      <c r="A39" t="s">
        <v>19</v>
      </c>
      <c r="B39" t="s">
        <v>59</v>
      </c>
      <c r="C39">
        <v>356</v>
      </c>
      <c r="D39">
        <v>20988.9</v>
      </c>
      <c r="H39" t="str" cm="1">
        <f t="array" ref="H39:J39">IF(A39:C39="","",A39:C39)</f>
        <v>California</v>
      </c>
      <c r="I39" t="str">
        <v>San Bernardino County</v>
      </c>
      <c r="J39">
        <v>356</v>
      </c>
      <c r="L39" t="str" cm="1">
        <f t="array" ref="L39:M39">IF(A39:B39="","",A39:B39)</f>
        <v>California</v>
      </c>
      <c r="M39" t="str">
        <v>San Bernardino County</v>
      </c>
      <c r="N39">
        <f t="shared" si="0"/>
        <v>20988.9</v>
      </c>
    </row>
    <row r="40" spans="1:14" x14ac:dyDescent="0.25">
      <c r="A40" t="s">
        <v>19</v>
      </c>
      <c r="B40" t="s">
        <v>62</v>
      </c>
      <c r="C40">
        <v>1768</v>
      </c>
      <c r="D40">
        <v>98367.099999999977</v>
      </c>
      <c r="H40" t="str" cm="1">
        <f t="array" ref="H40:J40">IF(A40:C40="","",A40:C40)</f>
        <v>California</v>
      </c>
      <c r="I40" t="str">
        <v>San Diego County</v>
      </c>
      <c r="J40">
        <v>1768</v>
      </c>
      <c r="L40" t="str" cm="1">
        <f t="array" ref="L40:M40">IF(A40:B40="","",A40:B40)</f>
        <v>California</v>
      </c>
      <c r="M40" t="str">
        <v>San Diego County</v>
      </c>
      <c r="N40">
        <f t="shared" si="0"/>
        <v>98367.099999999977</v>
      </c>
    </row>
    <row r="41" spans="1:14" x14ac:dyDescent="0.25">
      <c r="A41" t="s">
        <v>19</v>
      </c>
      <c r="B41" t="s">
        <v>103</v>
      </c>
      <c r="C41">
        <v>307</v>
      </c>
      <c r="D41">
        <v>21911.9</v>
      </c>
      <c r="H41" t="str" cm="1">
        <f t="array" ref="H41:J41">IF(A41:C41="","",A41:C41)</f>
        <v>California</v>
      </c>
      <c r="I41" t="str">
        <v>San Francisco</v>
      </c>
      <c r="J41">
        <v>307</v>
      </c>
      <c r="L41" t="str" cm="1">
        <f t="array" ref="L41:M41">IF(A41:B41="","",A41:B41)</f>
        <v>California</v>
      </c>
      <c r="M41" t="str">
        <v>San Francisco</v>
      </c>
      <c r="N41">
        <f t="shared" si="0"/>
        <v>21911.9</v>
      </c>
    </row>
    <row r="42" spans="1:14" x14ac:dyDescent="0.25">
      <c r="A42" t="s">
        <v>19</v>
      </c>
      <c r="B42" t="s">
        <v>201</v>
      </c>
      <c r="C42">
        <v>117</v>
      </c>
      <c r="D42">
        <v>5441.2</v>
      </c>
      <c r="H42" t="str" cm="1">
        <f t="array" ref="H42:J42">IF(A42:C42="","",A42:C42)</f>
        <v>California</v>
      </c>
      <c r="I42" t="str">
        <v>San Joaquin County</v>
      </c>
      <c r="J42">
        <v>117</v>
      </c>
      <c r="L42" t="str" cm="1">
        <f t="array" ref="L42:M42">IF(A42:B42="","",A42:B42)</f>
        <v>California</v>
      </c>
      <c r="M42" t="str">
        <v>San Joaquin County</v>
      </c>
      <c r="N42">
        <f t="shared" si="0"/>
        <v>5441.2</v>
      </c>
    </row>
    <row r="43" spans="1:14" x14ac:dyDescent="0.25">
      <c r="A43" t="s">
        <v>19</v>
      </c>
      <c r="B43" t="s">
        <v>429</v>
      </c>
      <c r="C43">
        <v>13</v>
      </c>
      <c r="D43">
        <v>392.8</v>
      </c>
      <c r="H43" t="str" cm="1">
        <f t="array" ref="H43:J43">IF(A43:C43="","",A43:C43)</f>
        <v>California</v>
      </c>
      <c r="I43" t="str">
        <v>San Luis Obispo County</v>
      </c>
      <c r="J43">
        <v>13</v>
      </c>
      <c r="L43" t="str" cm="1">
        <f t="array" ref="L43:M43">IF(A43:B43="","",A43:B43)</f>
        <v>California</v>
      </c>
      <c r="M43" t="str">
        <v>San Luis Obispo County</v>
      </c>
      <c r="N43">
        <f t="shared" si="0"/>
        <v>392.8</v>
      </c>
    </row>
    <row r="44" spans="1:14" x14ac:dyDescent="0.25">
      <c r="A44" t="s">
        <v>19</v>
      </c>
      <c r="B44" t="s">
        <v>72</v>
      </c>
      <c r="C44">
        <v>364</v>
      </c>
      <c r="D44">
        <v>16172.000000000005</v>
      </c>
      <c r="H44" t="str" cm="1">
        <f t="array" ref="H44:J44">IF(A44:C44="","",A44:C44)</f>
        <v>California</v>
      </c>
      <c r="I44" t="str">
        <v>San Mateo County</v>
      </c>
      <c r="J44">
        <v>364</v>
      </c>
      <c r="L44" t="str" cm="1">
        <f t="array" ref="L44:M44">IF(A44:B44="","",A44:B44)</f>
        <v>California</v>
      </c>
      <c r="M44" t="str">
        <v>San Mateo County</v>
      </c>
      <c r="N44">
        <f t="shared" si="0"/>
        <v>16172.000000000005</v>
      </c>
    </row>
    <row r="45" spans="1:14" x14ac:dyDescent="0.25">
      <c r="A45" t="s">
        <v>19</v>
      </c>
      <c r="B45" t="s">
        <v>74</v>
      </c>
      <c r="C45">
        <v>95</v>
      </c>
      <c r="D45">
        <v>4334.9999999999991</v>
      </c>
      <c r="H45" t="str" cm="1">
        <f t="array" ref="H45:J45">IF(A45:C45="","",A45:C45)</f>
        <v>California</v>
      </c>
      <c r="I45" t="str">
        <v>Santa Barbara County</v>
      </c>
      <c r="J45">
        <v>95</v>
      </c>
      <c r="L45" t="str" cm="1">
        <f t="array" ref="L45:M45">IF(A45:B45="","",A45:B45)</f>
        <v>California</v>
      </c>
      <c r="M45" t="str">
        <v>Santa Barbara County</v>
      </c>
      <c r="N45">
        <f t="shared" si="0"/>
        <v>4334.9999999999991</v>
      </c>
    </row>
    <row r="46" spans="1:14" x14ac:dyDescent="0.25">
      <c r="A46" t="s">
        <v>19</v>
      </c>
      <c r="B46" t="s">
        <v>77</v>
      </c>
      <c r="C46">
        <v>737</v>
      </c>
      <c r="D46">
        <v>37449.000000000007</v>
      </c>
      <c r="H46" t="str" cm="1">
        <f t="array" ref="H46:J46">IF(A46:C46="","",A46:C46)</f>
        <v>California</v>
      </c>
      <c r="I46" t="str">
        <v>Santa Clara County</v>
      </c>
      <c r="J46">
        <v>737</v>
      </c>
      <c r="L46" t="str" cm="1">
        <f t="array" ref="L46:M46">IF(A46:B46="","",A46:B46)</f>
        <v>California</v>
      </c>
      <c r="M46" t="str">
        <v>Santa Clara County</v>
      </c>
      <c r="N46">
        <f t="shared" si="0"/>
        <v>37449.000000000007</v>
      </c>
    </row>
    <row r="47" spans="1:14" x14ac:dyDescent="0.25">
      <c r="A47" t="s">
        <v>19</v>
      </c>
      <c r="B47" t="s">
        <v>309</v>
      </c>
      <c r="C47">
        <v>39</v>
      </c>
      <c r="D47">
        <v>2447.5</v>
      </c>
      <c r="H47" t="str" cm="1">
        <f t="array" ref="H47:J47">IF(A47:C47="","",A47:C47)</f>
        <v>California</v>
      </c>
      <c r="I47" t="str">
        <v>Santa Cruz County</v>
      </c>
      <c r="J47">
        <v>39</v>
      </c>
      <c r="L47" t="str" cm="1">
        <f t="array" ref="L47:M47">IF(A47:B47="","",A47:B47)</f>
        <v>California</v>
      </c>
      <c r="M47" t="str">
        <v>Santa Cruz County</v>
      </c>
      <c r="N47">
        <f t="shared" si="0"/>
        <v>2447.5</v>
      </c>
    </row>
    <row r="48" spans="1:14" x14ac:dyDescent="0.25">
      <c r="A48" t="s">
        <v>19</v>
      </c>
      <c r="B48" t="s">
        <v>1116</v>
      </c>
      <c r="C48">
        <v>56</v>
      </c>
      <c r="D48">
        <v>3391.1</v>
      </c>
      <c r="H48" t="str" cm="1">
        <f t="array" ref="H48:J48">IF(A48:C48="","",A48:C48)</f>
        <v>California</v>
      </c>
      <c r="I48" t="str">
        <v>Shasta County</v>
      </c>
      <c r="J48">
        <v>56</v>
      </c>
      <c r="L48" t="str" cm="1">
        <f t="array" ref="L48:M48">IF(A48:B48="","",A48:B48)</f>
        <v>California</v>
      </c>
      <c r="M48" t="str">
        <v>Shasta County</v>
      </c>
      <c r="N48">
        <f t="shared" si="0"/>
        <v>3391.1</v>
      </c>
    </row>
    <row r="49" spans="1:14" x14ac:dyDescent="0.25">
      <c r="A49" t="s">
        <v>19</v>
      </c>
      <c r="B49" t="s">
        <v>700</v>
      </c>
      <c r="C49">
        <v>2</v>
      </c>
      <c r="D49">
        <v>30.8</v>
      </c>
      <c r="H49" t="str" cm="1">
        <f t="array" ref="H49:J49">IF(A49:C49="","",A49:C49)</f>
        <v>California</v>
      </c>
      <c r="I49" t="str">
        <v>Sierra County</v>
      </c>
      <c r="J49">
        <v>2</v>
      </c>
      <c r="L49" t="str" cm="1">
        <f t="array" ref="L49:M49">IF(A49:B49="","",A49:B49)</f>
        <v>California</v>
      </c>
      <c r="M49" t="str">
        <v>Sierra County</v>
      </c>
      <c r="N49">
        <f t="shared" si="0"/>
        <v>30.8</v>
      </c>
    </row>
    <row r="50" spans="1:14" x14ac:dyDescent="0.25">
      <c r="A50" t="s">
        <v>19</v>
      </c>
      <c r="B50" t="s">
        <v>268</v>
      </c>
      <c r="C50">
        <v>8</v>
      </c>
      <c r="D50">
        <v>332.3</v>
      </c>
      <c r="H50" t="str" cm="1">
        <f t="array" ref="H50:J50">IF(A50:C50="","",A50:C50)</f>
        <v>California</v>
      </c>
      <c r="I50" t="str">
        <v>Siskiyou County</v>
      </c>
      <c r="J50">
        <v>8</v>
      </c>
      <c r="L50" t="str" cm="1">
        <f t="array" ref="L50:M50">IF(A50:B50="","",A50:B50)</f>
        <v>California</v>
      </c>
      <c r="M50" t="str">
        <v>Siskiyou County</v>
      </c>
      <c r="N50">
        <f t="shared" si="0"/>
        <v>332.3</v>
      </c>
    </row>
    <row r="51" spans="1:14" x14ac:dyDescent="0.25">
      <c r="A51" t="s">
        <v>19</v>
      </c>
      <c r="B51" t="s">
        <v>377</v>
      </c>
      <c r="C51">
        <v>52</v>
      </c>
      <c r="D51">
        <v>3175.9999999999995</v>
      </c>
      <c r="H51" t="str" cm="1">
        <f t="array" ref="H51:J51">IF(A51:C51="","",A51:C51)</f>
        <v>California</v>
      </c>
      <c r="I51" t="str">
        <v>Solano County</v>
      </c>
      <c r="J51">
        <v>52</v>
      </c>
      <c r="L51" t="str" cm="1">
        <f t="array" ref="L51:M51">IF(A51:B51="","",A51:B51)</f>
        <v>California</v>
      </c>
      <c r="M51" t="str">
        <v>Solano County</v>
      </c>
      <c r="N51">
        <f t="shared" si="0"/>
        <v>3175.9999999999995</v>
      </c>
    </row>
    <row r="52" spans="1:14" x14ac:dyDescent="0.25">
      <c r="A52" t="s">
        <v>19</v>
      </c>
      <c r="B52" t="s">
        <v>108</v>
      </c>
      <c r="C52">
        <v>295</v>
      </c>
      <c r="D52">
        <v>20939.600000000002</v>
      </c>
      <c r="H52" t="str" cm="1">
        <f t="array" ref="H52:J52">IF(A52:C52="","",A52:C52)</f>
        <v>California</v>
      </c>
      <c r="I52" t="str">
        <v>Sonoma County</v>
      </c>
      <c r="J52">
        <v>295</v>
      </c>
      <c r="L52" t="str" cm="1">
        <f t="array" ref="L52:M52">IF(A52:B52="","",A52:B52)</f>
        <v>California</v>
      </c>
      <c r="M52" t="str">
        <v>Sonoma County</v>
      </c>
      <c r="N52">
        <f t="shared" si="0"/>
        <v>20939.600000000002</v>
      </c>
    </row>
    <row r="53" spans="1:14" x14ac:dyDescent="0.25">
      <c r="A53" t="s">
        <v>19</v>
      </c>
      <c r="B53" t="s">
        <v>110</v>
      </c>
      <c r="C53">
        <v>195</v>
      </c>
      <c r="D53">
        <v>10185.899999999996</v>
      </c>
      <c r="H53" t="str" cm="1">
        <f t="array" ref="H53:J53">IF(A53:C53="","",A53:C53)</f>
        <v>California</v>
      </c>
      <c r="I53" t="str">
        <v>Stanislaus County</v>
      </c>
      <c r="J53">
        <v>195</v>
      </c>
      <c r="L53" t="str" cm="1">
        <f t="array" ref="L53:M53">IF(A53:B53="","",A53:B53)</f>
        <v>California</v>
      </c>
      <c r="M53" t="str">
        <v>Stanislaus County</v>
      </c>
      <c r="N53">
        <f t="shared" si="0"/>
        <v>10185.899999999996</v>
      </c>
    </row>
    <row r="54" spans="1:14" x14ac:dyDescent="0.25">
      <c r="A54" t="s">
        <v>19</v>
      </c>
      <c r="B54" t="s">
        <v>292</v>
      </c>
      <c r="C54">
        <v>20</v>
      </c>
      <c r="D54">
        <v>958.7</v>
      </c>
      <c r="H54" t="str" cm="1">
        <f t="array" ref="H54:J54">IF(A54:C54="","",A54:C54)</f>
        <v>California</v>
      </c>
      <c r="I54" t="str">
        <v>Sutter County</v>
      </c>
      <c r="J54">
        <v>20</v>
      </c>
      <c r="L54" t="str" cm="1">
        <f t="array" ref="L54:M54">IF(A54:B54="","",A54:B54)</f>
        <v>California</v>
      </c>
      <c r="M54" t="str">
        <v>Sutter County</v>
      </c>
      <c r="N54">
        <f t="shared" si="0"/>
        <v>958.7</v>
      </c>
    </row>
    <row r="55" spans="1:14" x14ac:dyDescent="0.25">
      <c r="A55" t="s">
        <v>19</v>
      </c>
      <c r="B55" t="s">
        <v>79</v>
      </c>
      <c r="C55">
        <v>6</v>
      </c>
      <c r="D55">
        <v>323</v>
      </c>
      <c r="H55" t="str" cm="1">
        <f t="array" ref="H55:J55">IF(A55:C55="","",A55:C55)</f>
        <v>California</v>
      </c>
      <c r="I55" t="str">
        <v>Tehama County</v>
      </c>
      <c r="J55">
        <v>6</v>
      </c>
      <c r="L55" t="str" cm="1">
        <f t="array" ref="L55:M55">IF(A55:B55="","",A55:B55)</f>
        <v>California</v>
      </c>
      <c r="M55" t="str">
        <v>Tehama County</v>
      </c>
      <c r="N55">
        <f t="shared" si="0"/>
        <v>323</v>
      </c>
    </row>
    <row r="56" spans="1:14" x14ac:dyDescent="0.25">
      <c r="A56" t="s">
        <v>19</v>
      </c>
      <c r="B56" t="s">
        <v>608</v>
      </c>
      <c r="C56">
        <v>5</v>
      </c>
      <c r="D56">
        <v>167.70000000000002</v>
      </c>
      <c r="H56" t="str" cm="1">
        <f t="array" ref="H56:J56">IF(A56:C56="","",A56:C56)</f>
        <v>California</v>
      </c>
      <c r="I56" t="str">
        <v>Trinity County</v>
      </c>
      <c r="J56">
        <v>5</v>
      </c>
      <c r="L56" t="str" cm="1">
        <f t="array" ref="L56:M56">IF(A56:B56="","",A56:B56)</f>
        <v>California</v>
      </c>
      <c r="M56" t="str">
        <v>Trinity County</v>
      </c>
      <c r="N56">
        <f t="shared" si="0"/>
        <v>167.70000000000002</v>
      </c>
    </row>
    <row r="57" spans="1:14" x14ac:dyDescent="0.25">
      <c r="A57" t="s">
        <v>19</v>
      </c>
      <c r="B57" t="s">
        <v>113</v>
      </c>
      <c r="C57">
        <v>94</v>
      </c>
      <c r="D57">
        <v>3978.5</v>
      </c>
      <c r="H57" t="str" cm="1">
        <f t="array" ref="H57:J57">IF(A57:C57="","",A57:C57)</f>
        <v>California</v>
      </c>
      <c r="I57" t="str">
        <v>Tulare County</v>
      </c>
      <c r="J57">
        <v>94</v>
      </c>
      <c r="L57" t="str" cm="1">
        <f t="array" ref="L57:M57">IF(A57:B57="","",A57:B57)</f>
        <v>California</v>
      </c>
      <c r="M57" t="str">
        <v>Tulare County</v>
      </c>
      <c r="N57">
        <f t="shared" si="0"/>
        <v>3978.5</v>
      </c>
    </row>
    <row r="58" spans="1:14" x14ac:dyDescent="0.25">
      <c r="A58" t="s">
        <v>19</v>
      </c>
      <c r="B58" t="s">
        <v>997</v>
      </c>
      <c r="C58">
        <v>28</v>
      </c>
      <c r="D58">
        <v>1405</v>
      </c>
      <c r="H58" t="str" cm="1">
        <f t="array" ref="H58:J58">IF(A58:C58="","",A58:C58)</f>
        <v>California</v>
      </c>
      <c r="I58" t="str">
        <v>Tuolumne County</v>
      </c>
      <c r="J58">
        <v>28</v>
      </c>
      <c r="L58" t="str" cm="1">
        <f t="array" ref="L58:M58">IF(A58:B58="","",A58:B58)</f>
        <v>California</v>
      </c>
      <c r="M58" t="str">
        <v>Tuolumne County</v>
      </c>
      <c r="N58">
        <f t="shared" si="0"/>
        <v>1405</v>
      </c>
    </row>
    <row r="59" spans="1:14" x14ac:dyDescent="0.25">
      <c r="A59" t="s">
        <v>19</v>
      </c>
      <c r="B59" t="s">
        <v>82</v>
      </c>
      <c r="C59">
        <v>179</v>
      </c>
      <c r="D59">
        <v>9869.0999999999985</v>
      </c>
      <c r="H59" t="str" cm="1">
        <f t="array" ref="H59:J59">IF(A59:C59="","",A59:C59)</f>
        <v>California</v>
      </c>
      <c r="I59" t="str">
        <v>Ventura County</v>
      </c>
      <c r="J59">
        <v>179</v>
      </c>
      <c r="L59" t="str" cm="1">
        <f t="array" ref="L59:M59">IF(A59:B59="","",A59:B59)</f>
        <v>California</v>
      </c>
      <c r="M59" t="str">
        <v>Ventura County</v>
      </c>
      <c r="N59">
        <f t="shared" si="0"/>
        <v>9869.0999999999985</v>
      </c>
    </row>
    <row r="60" spans="1:14" x14ac:dyDescent="0.25">
      <c r="A60" t="s">
        <v>19</v>
      </c>
      <c r="B60" t="s">
        <v>243</v>
      </c>
      <c r="C60">
        <v>15</v>
      </c>
      <c r="D60">
        <v>615.29999999999995</v>
      </c>
      <c r="H60" t="str" cm="1">
        <f t="array" ref="H60:J60">IF(A60:C60="","",A60:C60)</f>
        <v>California</v>
      </c>
      <c r="I60" t="str">
        <v>Yolo County</v>
      </c>
      <c r="J60">
        <v>15</v>
      </c>
      <c r="L60" t="str" cm="1">
        <f t="array" ref="L60:M60">IF(A60:B60="","",A60:B60)</f>
        <v>California</v>
      </c>
      <c r="M60" t="str">
        <v>Yolo County</v>
      </c>
      <c r="N60">
        <f t="shared" si="0"/>
        <v>615.29999999999995</v>
      </c>
    </row>
    <row r="61" spans="1:14" x14ac:dyDescent="0.25">
      <c r="A61" t="s">
        <v>19</v>
      </c>
      <c r="B61" t="s">
        <v>1911</v>
      </c>
      <c r="C61">
        <v>3</v>
      </c>
      <c r="D61">
        <v>285</v>
      </c>
      <c r="H61" t="str" cm="1">
        <f t="array" ref="H61:J61">IF(A61:C61="","",A61:C61)</f>
        <v>California</v>
      </c>
      <c r="I61" t="str">
        <v>Yuba County</v>
      </c>
      <c r="J61">
        <v>3</v>
      </c>
      <c r="L61" t="str" cm="1">
        <f t="array" ref="L61:M61">IF(A61:B61="","",A61:B61)</f>
        <v>California</v>
      </c>
      <c r="M61" t="str">
        <v>Yuba County</v>
      </c>
      <c r="N61">
        <f t="shared" si="0"/>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F7D1-0F33-4CF4-B299-0A8B2514C15E}">
  <dimension ref="A2:G30"/>
  <sheetViews>
    <sheetView workbookViewId="0">
      <selection activeCell="AE6" sqref="AE6"/>
    </sheetView>
  </sheetViews>
  <sheetFormatPr defaultRowHeight="15" x14ac:dyDescent="0.25"/>
  <cols>
    <col min="1" max="1" width="13.42578125" bestFit="1" customWidth="1"/>
    <col min="2" max="2" width="14" bestFit="1" customWidth="1"/>
    <col min="3" max="4" width="4" bestFit="1" customWidth="1"/>
    <col min="5" max="5" width="5" bestFit="1" customWidth="1"/>
    <col min="6" max="6" width="4" bestFit="1" customWidth="1"/>
    <col min="7" max="7" width="11.28515625" bestFit="1" customWidth="1"/>
    <col min="8" max="32" width="9.28515625" bestFit="1" customWidth="1"/>
    <col min="33" max="89" width="9.7109375" bestFit="1" customWidth="1"/>
    <col min="90" max="90" width="11.28515625" bestFit="1" customWidth="1"/>
    <col min="91" max="2400" width="16.85546875" bestFit="1" customWidth="1"/>
    <col min="2401" max="2401" width="11.28515625" bestFit="1" customWidth="1"/>
  </cols>
  <sheetData>
    <row r="2" spans="1:3" x14ac:dyDescent="0.25">
      <c r="C2" t="s">
        <v>2549</v>
      </c>
    </row>
    <row r="3" spans="1:3" x14ac:dyDescent="0.25">
      <c r="A3" s="11" t="s">
        <v>2531</v>
      </c>
      <c r="B3" t="s">
        <v>2540</v>
      </c>
    </row>
    <row r="4" spans="1:3" x14ac:dyDescent="0.25">
      <c r="A4" s="12">
        <v>0</v>
      </c>
      <c r="B4">
        <v>175</v>
      </c>
    </row>
    <row r="5" spans="1:3" x14ac:dyDescent="0.25">
      <c r="A5" s="12">
        <v>1</v>
      </c>
      <c r="B5">
        <v>888</v>
      </c>
    </row>
    <row r="6" spans="1:3" x14ac:dyDescent="0.25">
      <c r="A6" s="12">
        <v>2</v>
      </c>
      <c r="B6">
        <v>538</v>
      </c>
    </row>
    <row r="7" spans="1:3" x14ac:dyDescent="0.25">
      <c r="A7" s="12">
        <v>3</v>
      </c>
      <c r="B7">
        <v>344</v>
      </c>
    </row>
    <row r="8" spans="1:3" x14ac:dyDescent="0.25">
      <c r="A8" s="12">
        <v>4</v>
      </c>
      <c r="B8">
        <v>200</v>
      </c>
    </row>
    <row r="9" spans="1:3" x14ac:dyDescent="0.25">
      <c r="A9" s="12">
        <v>5</v>
      </c>
      <c r="B9">
        <v>94</v>
      </c>
    </row>
    <row r="10" spans="1:3" x14ac:dyDescent="0.25">
      <c r="A10" s="12">
        <v>6</v>
      </c>
      <c r="B10">
        <v>51</v>
      </c>
    </row>
    <row r="11" spans="1:3" x14ac:dyDescent="0.25">
      <c r="A11" s="12">
        <v>7</v>
      </c>
      <c r="B11">
        <v>32</v>
      </c>
    </row>
    <row r="12" spans="1:3" x14ac:dyDescent="0.25">
      <c r="A12" s="12">
        <v>8</v>
      </c>
      <c r="B12">
        <v>23</v>
      </c>
    </row>
    <row r="13" spans="1:3" x14ac:dyDescent="0.25">
      <c r="A13" s="12">
        <v>9</v>
      </c>
      <c r="B13">
        <v>9</v>
      </c>
    </row>
    <row r="14" spans="1:3" x14ac:dyDescent="0.25">
      <c r="A14" s="12">
        <v>10</v>
      </c>
      <c r="B14">
        <v>8</v>
      </c>
    </row>
    <row r="15" spans="1:3" x14ac:dyDescent="0.25">
      <c r="A15" s="12">
        <v>11</v>
      </c>
      <c r="B15">
        <v>11</v>
      </c>
    </row>
    <row r="16" spans="1:3" x14ac:dyDescent="0.25">
      <c r="A16" s="12">
        <v>12</v>
      </c>
      <c r="B16">
        <v>4</v>
      </c>
    </row>
    <row r="17" spans="1:7" x14ac:dyDescent="0.25">
      <c r="A17" s="12">
        <v>13</v>
      </c>
      <c r="B17">
        <v>10</v>
      </c>
    </row>
    <row r="18" spans="1:7" x14ac:dyDescent="0.25">
      <c r="A18" s="12">
        <v>14</v>
      </c>
      <c r="B18">
        <v>13</v>
      </c>
    </row>
    <row r="19" spans="1:7" x14ac:dyDescent="0.25">
      <c r="A19" s="12" t="s">
        <v>2532</v>
      </c>
      <c r="B19">
        <v>2400</v>
      </c>
    </row>
    <row r="23" spans="1:7" x14ac:dyDescent="0.25">
      <c r="B23" t="s">
        <v>2550</v>
      </c>
    </row>
    <row r="25" spans="1:7" x14ac:dyDescent="0.25">
      <c r="A25" s="11" t="s">
        <v>2540</v>
      </c>
      <c r="B25" s="11" t="s">
        <v>2537</v>
      </c>
    </row>
    <row r="26" spans="1:7" x14ac:dyDescent="0.25">
      <c r="A26" s="11" t="s">
        <v>2531</v>
      </c>
      <c r="B26">
        <v>1</v>
      </c>
      <c r="C26">
        <v>2</v>
      </c>
      <c r="D26">
        <v>3</v>
      </c>
      <c r="E26">
        <v>4</v>
      </c>
      <c r="F26">
        <v>5</v>
      </c>
      <c r="G26" t="s">
        <v>2532</v>
      </c>
    </row>
    <row r="27" spans="1:7" x14ac:dyDescent="0.25">
      <c r="A27" s="12" t="s">
        <v>2551</v>
      </c>
      <c r="B27">
        <v>7</v>
      </c>
      <c r="C27">
        <v>37</v>
      </c>
      <c r="D27">
        <v>150</v>
      </c>
      <c r="E27">
        <v>312</v>
      </c>
      <c r="F27">
        <v>224</v>
      </c>
      <c r="G27">
        <v>730</v>
      </c>
    </row>
    <row r="28" spans="1:7" x14ac:dyDescent="0.25">
      <c r="A28" s="12" t="s">
        <v>2552</v>
      </c>
      <c r="B28">
        <v>8</v>
      </c>
      <c r="C28">
        <v>51</v>
      </c>
      <c r="D28">
        <v>182</v>
      </c>
      <c r="E28">
        <v>373</v>
      </c>
      <c r="F28">
        <v>247</v>
      </c>
      <c r="G28">
        <v>861</v>
      </c>
    </row>
    <row r="29" spans="1:7" x14ac:dyDescent="0.25">
      <c r="A29" s="12" t="s">
        <v>2553</v>
      </c>
      <c r="B29">
        <v>6</v>
      </c>
      <c r="C29">
        <v>39</v>
      </c>
      <c r="D29">
        <v>163</v>
      </c>
      <c r="E29">
        <v>351</v>
      </c>
      <c r="F29">
        <v>250</v>
      </c>
      <c r="G29">
        <v>809</v>
      </c>
    </row>
    <row r="30" spans="1:7" x14ac:dyDescent="0.25">
      <c r="A30" s="12" t="s">
        <v>2532</v>
      </c>
      <c r="B30">
        <v>21</v>
      </c>
      <c r="C30">
        <v>127</v>
      </c>
      <c r="D30">
        <v>495</v>
      </c>
      <c r="E30">
        <v>1036</v>
      </c>
      <c r="F30">
        <v>721</v>
      </c>
      <c r="G30">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BC5E-2B41-4C14-9B07-6F2C70C246ED}">
  <sheetPr>
    <tabColor rgb="FFFFC000"/>
  </sheetPr>
  <dimension ref="A1:AB42"/>
  <sheetViews>
    <sheetView showGridLines="0" showRowColHeaders="0" tabSelected="1" view="pageBreakPreview" zoomScale="85" zoomScaleNormal="100" zoomScaleSheetLayoutView="85" workbookViewId="0">
      <selection activeCell="AE6" sqref="AE6"/>
    </sheetView>
  </sheetViews>
  <sheetFormatPr defaultColWidth="0" defaultRowHeight="15" zeroHeight="1" x14ac:dyDescent="0.25"/>
  <cols>
    <col min="1" max="1" width="3.7109375" style="24" customWidth="1"/>
    <col min="2" max="2" width="20" style="24" customWidth="1"/>
    <col min="3" max="3" width="3.28515625" style="24" customWidth="1"/>
    <col min="4" max="26" width="9.140625" style="24" customWidth="1"/>
    <col min="27" max="28" width="0" style="24" hidden="1" customWidth="1"/>
    <col min="29" max="16384" width="9.140625" style="24" hidden="1"/>
  </cols>
  <sheetData>
    <row r="1" spans="1:26" ht="57" customHeight="1" x14ac:dyDescent="0.25">
      <c r="A1" s="25" t="s">
        <v>2554</v>
      </c>
      <c r="B1" s="26"/>
      <c r="C1" s="26"/>
      <c r="D1" s="26"/>
      <c r="E1" s="26"/>
      <c r="F1" s="26"/>
      <c r="G1" s="26"/>
      <c r="H1" s="26"/>
      <c r="I1" s="26"/>
      <c r="J1" s="26"/>
      <c r="K1" s="26"/>
      <c r="L1" s="26"/>
      <c r="M1" s="26"/>
      <c r="N1" s="26"/>
      <c r="O1" s="26"/>
      <c r="P1" s="26"/>
      <c r="Q1" s="26"/>
      <c r="R1" s="26"/>
      <c r="S1" s="26"/>
      <c r="T1" s="26"/>
      <c r="U1" s="26"/>
      <c r="V1" s="26"/>
      <c r="W1" s="26"/>
      <c r="X1" s="26"/>
      <c r="Y1" s="26"/>
      <c r="Z1" s="26"/>
    </row>
    <row r="2" spans="1:26" x14ac:dyDescent="0.25">
      <c r="A2" s="26"/>
      <c r="B2" s="26"/>
      <c r="C2" s="26"/>
      <c r="D2" s="26"/>
      <c r="E2" s="26"/>
      <c r="F2" s="26"/>
      <c r="G2" s="26"/>
      <c r="H2" s="26"/>
      <c r="I2" s="26"/>
      <c r="J2" s="26"/>
      <c r="K2" s="26"/>
      <c r="L2" s="26"/>
      <c r="M2" s="26"/>
      <c r="N2" s="26"/>
      <c r="O2" s="26"/>
      <c r="P2" s="26"/>
      <c r="Q2" s="26"/>
      <c r="R2" s="26"/>
      <c r="S2" s="26"/>
      <c r="T2" s="26"/>
      <c r="U2" s="26"/>
      <c r="V2" s="26"/>
      <c r="W2" s="26"/>
      <c r="X2" s="26"/>
      <c r="Y2" s="26"/>
      <c r="Z2" s="26"/>
    </row>
    <row r="3" spans="1:26" x14ac:dyDescent="0.25"/>
    <row r="4" spans="1:26" x14ac:dyDescent="0.25"/>
    <row r="5" spans="1:26" x14ac:dyDescent="0.25"/>
    <row r="6" spans="1:26" x14ac:dyDescent="0.25"/>
    <row r="7" spans="1:26" x14ac:dyDescent="0.25"/>
    <row r="8" spans="1:26" x14ac:dyDescent="0.25"/>
    <row r="9" spans="1:26" x14ac:dyDescent="0.25"/>
    <row r="10" spans="1:26" x14ac:dyDescent="0.25"/>
    <row r="11" spans="1:26" x14ac:dyDescent="0.25"/>
    <row r="12" spans="1:26" x14ac:dyDescent="0.25"/>
    <row r="13" spans="1:26" x14ac:dyDescent="0.25"/>
    <row r="14" spans="1:26" x14ac:dyDescent="0.25"/>
    <row r="15" spans="1:26" x14ac:dyDescent="0.25"/>
    <row r="16" spans="1:26" x14ac:dyDescent="0.25"/>
    <row r="17" s="24" customFormat="1" x14ac:dyDescent="0.25"/>
    <row r="18" s="24" customFormat="1" x14ac:dyDescent="0.25"/>
    <row r="19" s="24" customFormat="1" x14ac:dyDescent="0.25"/>
    <row r="20" s="24" customFormat="1" x14ac:dyDescent="0.25"/>
    <row r="21" s="24" customFormat="1" x14ac:dyDescent="0.25"/>
    <row r="22" s="24" customFormat="1" x14ac:dyDescent="0.25"/>
    <row r="23" s="24" customFormat="1" x14ac:dyDescent="0.25"/>
    <row r="24" s="24" customFormat="1" x14ac:dyDescent="0.25"/>
    <row r="25" s="24" customFormat="1" x14ac:dyDescent="0.25"/>
    <row r="26" s="24" customFormat="1" x14ac:dyDescent="0.25"/>
    <row r="27" s="24" customFormat="1" x14ac:dyDescent="0.25"/>
    <row r="28" s="24" customFormat="1" x14ac:dyDescent="0.25"/>
    <row r="29" s="24" customFormat="1" x14ac:dyDescent="0.25"/>
    <row r="30" s="24" customFormat="1" x14ac:dyDescent="0.25"/>
    <row r="31" s="24" customFormat="1" x14ac:dyDescent="0.25"/>
    <row r="32" s="24" customFormat="1" x14ac:dyDescent="0.25"/>
    <row r="33" s="24" customFormat="1" x14ac:dyDescent="0.25"/>
    <row r="34" s="24" customFormat="1" x14ac:dyDescent="0.25"/>
    <row r="35" s="24" customFormat="1" x14ac:dyDescent="0.25"/>
    <row r="36" s="24" customFormat="1" x14ac:dyDescent="0.25"/>
    <row r="37" s="24" customFormat="1" x14ac:dyDescent="0.25"/>
    <row r="38" s="24" customFormat="1" x14ac:dyDescent="0.25"/>
    <row r="39" s="24" customFormat="1" x14ac:dyDescent="0.25"/>
    <row r="40" s="24" customFormat="1" x14ac:dyDescent="0.25"/>
    <row r="41" s="24" customFormat="1" x14ac:dyDescent="0.25"/>
    <row r="42" s="24" customFormat="1" x14ac:dyDescent="0.25"/>
  </sheetData>
  <sheetProtection algorithmName="SHA-512" hashValue="Eb6J9wL+yPsc3mdOX/9n40XgqZMHCPzuo/zchBxuUS7U8wfL6Khf2kGaJUTzn20yaokZ2Yz3qx4BrOt2tH6v9w==" saltValue="MtqecuBpXULYaxgi6UpUpA==" spinCount="100000" sheet="1" objects="1" scenarios="1" selectLockedCells="1" pivotTables="0" selectUnlockedCells="1"/>
  <protectedRanges>
    <protectedRange sqref="A43:XFD1048576" name="Range2"/>
    <protectedRange sqref="A43:XFD1048576" name="Order Mode"/>
  </protectedRanges>
  <mergeCells count="1">
    <mergeCell ref="A1:Z2"/>
  </mergeCells>
  <pageMargins left="0.7" right="0.7" top="0.75" bottom="0.75" header="0.3" footer="0.3"/>
  <pageSetup orientation="portrait" r:id="rId1"/>
  <colBreaks count="2" manualBreakCount="2">
    <brk id="10" max="42" man="1"/>
    <brk id="18" max="42" man="1"/>
  </colBreaks>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AE6" sqref="AE6"/>
    </sheetView>
  </sheetViews>
  <sheetFormatPr defaultRowHeight="15" x14ac:dyDescent="0.25"/>
  <cols>
    <col min="2" max="2" width="19.140625" bestFit="1" customWidth="1"/>
    <col min="3" max="3" width="8.140625" bestFit="1" customWidth="1"/>
    <col min="4" max="4" width="9.140625" bestFit="1" customWidth="1"/>
    <col min="5" max="5" width="7.42578125" bestFit="1" customWidth="1"/>
    <col min="6" max="6" width="10" bestFit="1" customWidth="1"/>
    <col min="7" max="7" width="9.42578125" bestFit="1" customWidth="1"/>
    <col min="8" max="8" width="17.42578125" bestFit="1" customWidth="1"/>
    <col min="9" max="9" width="11.5703125" bestFit="1" customWidth="1"/>
    <col min="10" max="10" width="8.5703125" bestFit="1" customWidth="1"/>
    <col min="11" max="11" width="9.7109375" bestFit="1" customWidth="1"/>
    <col min="12" max="12" width="22" bestFit="1" customWidth="1"/>
    <col min="13" max="13" width="14.85546875" bestFit="1" customWidth="1"/>
    <col min="14" max="14" width="10.140625" bestFit="1" customWidth="1"/>
    <col min="15" max="15" width="13.28515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AE6" sqref="AE6"/>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1_pivot</vt:lpstr>
      <vt:lpstr>2_pivot</vt:lpstr>
      <vt:lpstr>3_pivot</vt:lpstr>
      <vt:lpstr>4_pivot</vt:lpstr>
      <vt:lpstr>5_pivot</vt:lpstr>
      <vt:lpstr>6_pivot</vt:lpstr>
      <vt:lpstr>E-Commerce Dashboard</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Sharankumar Rathod</dc:creator>
  <cp:keywords>Dashboard</cp:keywords>
  <cp:lastModifiedBy>Sharankumar Rathod</cp:lastModifiedBy>
  <dcterms:created xsi:type="dcterms:W3CDTF">2025-06-13T02:42:26Z</dcterms:created>
  <dcterms:modified xsi:type="dcterms:W3CDTF">2026-08-02T09:41:57Z</dcterms:modified>
</cp:coreProperties>
</file>