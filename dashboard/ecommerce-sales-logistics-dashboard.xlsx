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8b4a80ec8ac96e4d/ecommerce_dashboard_project/dashboard/"/>
    </mc:Choice>
  </mc:AlternateContent>
  <xr:revisionPtr revIDLastSave="1" documentId="8_{7A14D680-616E-4498-B566-439E53A96840}" xr6:coauthVersionLast="47" xr6:coauthVersionMax="47" xr10:uidLastSave="{7177FD9D-3A6E-45CB-AF23-F505D483A06E}"/>
  <bookViews>
    <workbookView xWindow="-120" yWindow="-120" windowWidth="29040" windowHeight="16440" firstSheet="6" activeTab="6" xr2:uid="{346724B3-1C49-40AE-AA36-C77CF5D6DD09}"/>
  </bookViews>
  <sheets>
    <sheet name="1_pivot" sheetId="5" state="hidden" r:id="rId1"/>
    <sheet name="2_pivot" sheetId="7" state="hidden" r:id="rId2"/>
    <sheet name="3_pivot" sheetId="8" state="hidden" r:id="rId3"/>
    <sheet name="4_pivot" sheetId="9" state="hidden" r:id="rId4"/>
    <sheet name="5_pivot" sheetId="11" state="hidden" r:id="rId5"/>
    <sheet name="6_pivot" sheetId="12" state="hidden" r:id="rId6"/>
    <sheet name="E-Commerce Dashboard" sheetId="6" r:id="rId7"/>
    <sheet name="Data" sheetId="1" state="hidden" r:id="rId8"/>
    <sheet name="Questions &amp; KPIs" sheetId="2" state="hidden" r:id="rId9"/>
  </sheets>
  <definedNames>
    <definedName name="_xlchart.v5.0" hidden="1">'5_pivot'!$H$3:$I$3</definedName>
    <definedName name="_xlchart.v5.1" hidden="1">'5_pivot'!$H$4:$I$61</definedName>
    <definedName name="_xlchart.v5.2" hidden="1">'5_pivot'!$J$3</definedName>
    <definedName name="_xlchart.v5.3" hidden="1">'5_pivot'!$J$4:$J$61</definedName>
    <definedName name="_xlchart.v5.4" hidden="1">'5_pivot'!$L$3:$M$3</definedName>
    <definedName name="_xlchart.v5.5" hidden="1">'5_pivot'!$L$4:$M$61</definedName>
    <definedName name="_xlchart.v5.6" hidden="1">'5_pivot'!$N$3</definedName>
    <definedName name="_xlchart.v5.7" hidden="1">'5_pivot'!$N$4:$N$61</definedName>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01" i="1" l="1" a="1"/>
  <c r="N2401" i="1"/>
  <c r="M2401" i="1"/>
  <c r="O2400" i="1" a="1"/>
  <c r="N2400" i="1"/>
  <c r="M2400" i="1"/>
  <c r="O2399" i="1" a="1"/>
  <c r="N2399" i="1"/>
  <c r="M2399" i="1"/>
  <c r="O2398" i="1" a="1"/>
  <c r="N2398" i="1"/>
  <c r="M2398" i="1"/>
  <c r="O2397" i="1" a="1"/>
  <c r="N2397" i="1"/>
  <c r="M2397" i="1"/>
  <c r="O2396" i="1" a="1"/>
  <c r="N2396" i="1"/>
  <c r="M2396" i="1"/>
  <c r="O2395" i="1" a="1"/>
  <c r="N2395" i="1"/>
  <c r="M2395" i="1"/>
  <c r="O2394" i="1" a="1"/>
  <c r="N2394" i="1"/>
  <c r="M2394" i="1"/>
  <c r="O2393" i="1" a="1"/>
  <c r="N2393" i="1"/>
  <c r="M2393" i="1"/>
  <c r="O2392" i="1" a="1"/>
  <c r="N2392" i="1"/>
  <c r="M2392" i="1"/>
  <c r="O2391" i="1" a="1"/>
  <c r="N2391" i="1"/>
  <c r="M2391" i="1"/>
  <c r="O2390" i="1" a="1"/>
  <c r="N2390" i="1"/>
  <c r="M2390" i="1"/>
  <c r="O2389" i="1" a="1"/>
  <c r="N2389" i="1"/>
  <c r="M2389" i="1"/>
  <c r="O2388" i="1" a="1"/>
  <c r="N2388" i="1"/>
  <c r="M2388" i="1"/>
  <c r="O2387" i="1" a="1"/>
  <c r="N2387" i="1"/>
  <c r="M2387" i="1"/>
  <c r="O2386" i="1" a="1"/>
  <c r="N2386" i="1"/>
  <c r="M2386" i="1"/>
  <c r="O2385" i="1" a="1"/>
  <c r="N2385" i="1"/>
  <c r="M2385" i="1"/>
  <c r="O2384" i="1" a="1"/>
  <c r="N2384" i="1"/>
  <c r="M2384" i="1"/>
  <c r="O2383" i="1" a="1"/>
  <c r="N2383" i="1"/>
  <c r="M2383" i="1"/>
  <c r="O2382" i="1" a="1"/>
  <c r="N2382" i="1"/>
  <c r="M2382" i="1"/>
  <c r="O2381" i="1" a="1"/>
  <c r="N2381" i="1"/>
  <c r="M2381" i="1"/>
  <c r="O2380" i="1" a="1"/>
  <c r="N2380" i="1"/>
  <c r="M2380" i="1"/>
  <c r="O2379" i="1" a="1"/>
  <c r="N2379" i="1"/>
  <c r="M2379" i="1"/>
  <c r="O2378" i="1" a="1"/>
  <c r="N2378" i="1"/>
  <c r="M2378" i="1"/>
  <c r="O2377" i="1" a="1"/>
  <c r="N2377" i="1"/>
  <c r="M2377" i="1"/>
  <c r="O2376" i="1" a="1"/>
  <c r="N2376" i="1"/>
  <c r="M2376" i="1"/>
  <c r="O2375" i="1" a="1"/>
  <c r="N2375" i="1"/>
  <c r="M2375" i="1"/>
  <c r="O2374" i="1" a="1"/>
  <c r="N2374" i="1"/>
  <c r="M2374" i="1"/>
  <c r="O2373" i="1" a="1"/>
  <c r="N2373" i="1"/>
  <c r="M2373" i="1"/>
  <c r="O2372" i="1" a="1"/>
  <c r="N2372" i="1"/>
  <c r="M2372" i="1"/>
  <c r="O2371" i="1" a="1"/>
  <c r="N2371" i="1"/>
  <c r="M2371" i="1"/>
  <c r="O2370" i="1" a="1"/>
  <c r="N2370" i="1"/>
  <c r="M2370" i="1"/>
  <c r="O2369" i="1" a="1"/>
  <c r="N2369" i="1"/>
  <c r="M2369" i="1"/>
  <c r="O2368" i="1" a="1"/>
  <c r="N2368" i="1"/>
  <c r="M2368" i="1"/>
  <c r="O2367" i="1" a="1"/>
  <c r="N2367" i="1"/>
  <c r="M2367" i="1"/>
  <c r="O2366" i="1" a="1"/>
  <c r="N2366" i="1"/>
  <c r="M2366" i="1"/>
  <c r="O2365" i="1" a="1"/>
  <c r="N2365" i="1"/>
  <c r="M2365" i="1"/>
  <c r="O2364" i="1" a="1"/>
  <c r="N2364" i="1"/>
  <c r="M2364" i="1"/>
  <c r="O2363" i="1" a="1"/>
  <c r="N2363" i="1"/>
  <c r="M2363" i="1"/>
  <c r="O2362" i="1" a="1"/>
  <c r="N2362" i="1"/>
  <c r="M2362" i="1"/>
  <c r="O2361" i="1" a="1"/>
  <c r="N2361" i="1"/>
  <c r="M2361" i="1"/>
  <c r="O2360" i="1" a="1"/>
  <c r="N2360" i="1"/>
  <c r="M2360" i="1"/>
  <c r="O2359" i="1" a="1"/>
  <c r="N2359" i="1"/>
  <c r="M2359" i="1"/>
  <c r="O2358" i="1" a="1"/>
  <c r="N2358" i="1"/>
  <c r="M2358" i="1"/>
  <c r="O2357" i="1" a="1"/>
  <c r="N2357" i="1"/>
  <c r="M2357" i="1"/>
  <c r="O2356" i="1" a="1"/>
  <c r="N2356" i="1"/>
  <c r="M2356" i="1"/>
  <c r="O2355" i="1" a="1"/>
  <c r="N2355" i="1"/>
  <c r="M2355" i="1"/>
  <c r="O2354" i="1" a="1"/>
  <c r="N2354" i="1"/>
  <c r="M2354" i="1"/>
  <c r="O2353" i="1" a="1"/>
  <c r="N2353" i="1"/>
  <c r="M2353" i="1"/>
  <c r="O2352" i="1" a="1"/>
  <c r="N2352" i="1"/>
  <c r="M2352" i="1"/>
  <c r="O2351" i="1" a="1"/>
  <c r="N2351" i="1"/>
  <c r="M2351" i="1"/>
  <c r="O2350" i="1" a="1"/>
  <c r="N2350" i="1"/>
  <c r="M2350" i="1"/>
  <c r="O2349" i="1" a="1"/>
  <c r="N2349" i="1"/>
  <c r="M2349" i="1"/>
  <c r="O2348" i="1" a="1"/>
  <c r="N2348" i="1"/>
  <c r="M2348" i="1"/>
  <c r="O2347" i="1" a="1"/>
  <c r="N2347" i="1"/>
  <c r="M2347" i="1"/>
  <c r="O2346" i="1" a="1"/>
  <c r="N2346" i="1"/>
  <c r="M2346" i="1"/>
  <c r="O2345" i="1" a="1"/>
  <c r="N2345" i="1"/>
  <c r="M2345" i="1"/>
  <c r="O2344" i="1" a="1"/>
  <c r="N2344" i="1"/>
  <c r="M2344" i="1"/>
  <c r="O2343" i="1" a="1"/>
  <c r="N2343" i="1"/>
  <c r="M2343" i="1"/>
  <c r="O2342" i="1" a="1"/>
  <c r="N2342" i="1"/>
  <c r="M2342" i="1"/>
  <c r="O2341" i="1" a="1"/>
  <c r="N2341" i="1"/>
  <c r="M2341" i="1"/>
  <c r="O2340" i="1" a="1"/>
  <c r="N2340" i="1"/>
  <c r="M2340" i="1"/>
  <c r="O2339" i="1" a="1"/>
  <c r="N2339" i="1"/>
  <c r="M2339" i="1"/>
  <c r="O2338" i="1" a="1"/>
  <c r="N2338" i="1"/>
  <c r="M2338" i="1"/>
  <c r="O2337" i="1" a="1"/>
  <c r="N2337" i="1"/>
  <c r="M2337" i="1"/>
  <c r="O2336" i="1" a="1"/>
  <c r="N2336" i="1"/>
  <c r="M2336" i="1"/>
  <c r="O2335" i="1" a="1"/>
  <c r="N2335" i="1"/>
  <c r="M2335" i="1"/>
  <c r="O2334" i="1" a="1"/>
  <c r="N2334" i="1"/>
  <c r="M2334" i="1"/>
  <c r="O2333" i="1" a="1"/>
  <c r="N2333" i="1"/>
  <c r="M2333" i="1"/>
  <c r="O2332" i="1" a="1"/>
  <c r="N2332" i="1"/>
  <c r="M2332" i="1"/>
  <c r="O2331" i="1" a="1"/>
  <c r="N2331" i="1"/>
  <c r="M2331" i="1"/>
  <c r="O2330" i="1" a="1"/>
  <c r="N2330" i="1"/>
  <c r="M2330" i="1"/>
  <c r="O2329" i="1" a="1"/>
  <c r="N2329" i="1"/>
  <c r="M2329" i="1"/>
  <c r="O2328" i="1" a="1"/>
  <c r="N2328" i="1"/>
  <c r="M2328" i="1"/>
  <c r="O2327" i="1" a="1"/>
  <c r="N2327" i="1"/>
  <c r="M2327" i="1"/>
  <c r="O2326" i="1" a="1"/>
  <c r="N2326" i="1"/>
  <c r="M2326" i="1"/>
  <c r="O2325" i="1" a="1"/>
  <c r="N2325" i="1"/>
  <c r="M2325" i="1"/>
  <c r="O2324" i="1" a="1"/>
  <c r="N2324" i="1"/>
  <c r="M2324" i="1"/>
  <c r="O2323" i="1" a="1"/>
  <c r="N2323" i="1"/>
  <c r="M2323" i="1"/>
  <c r="O2322" i="1" a="1"/>
  <c r="N2322" i="1"/>
  <c r="M2322" i="1"/>
  <c r="O2321" i="1" a="1"/>
  <c r="N2321" i="1"/>
  <c r="M2321" i="1"/>
  <c r="O2320" i="1" a="1"/>
  <c r="N2320" i="1"/>
  <c r="M2320" i="1"/>
  <c r="O2319" i="1" a="1"/>
  <c r="N2319" i="1"/>
  <c r="M2319" i="1"/>
  <c r="O2318" i="1" a="1"/>
  <c r="N2318" i="1"/>
  <c r="M2318" i="1"/>
  <c r="O2317" i="1" a="1"/>
  <c r="N2317" i="1"/>
  <c r="M2317" i="1"/>
  <c r="O2316" i="1" a="1"/>
  <c r="N2316" i="1"/>
  <c r="M2316" i="1"/>
  <c r="O2315" i="1" a="1"/>
  <c r="N2315" i="1"/>
  <c r="M2315" i="1"/>
  <c r="O2314" i="1" a="1"/>
  <c r="N2314" i="1"/>
  <c r="M2314" i="1"/>
  <c r="O2313" i="1" a="1"/>
  <c r="N2313" i="1"/>
  <c r="M2313" i="1"/>
  <c r="O2312" i="1" a="1"/>
  <c r="N2312" i="1"/>
  <c r="M2312" i="1"/>
  <c r="O2311" i="1" a="1"/>
  <c r="N2311" i="1"/>
  <c r="M2311" i="1"/>
  <c r="O2310" i="1" a="1"/>
  <c r="N2310" i="1"/>
  <c r="M2310" i="1"/>
  <c r="O2309" i="1" a="1"/>
  <c r="N2309" i="1"/>
  <c r="M2309" i="1"/>
  <c r="O2308" i="1" a="1"/>
  <c r="N2308" i="1"/>
  <c r="M2308" i="1"/>
  <c r="O2307" i="1" a="1"/>
  <c r="N2307" i="1"/>
  <c r="M2307" i="1"/>
  <c r="O2306" i="1" a="1"/>
  <c r="N2306" i="1"/>
  <c r="M2306" i="1"/>
  <c r="O2305" i="1" a="1"/>
  <c r="N2305" i="1"/>
  <c r="M2305" i="1"/>
  <c r="O2304" i="1" a="1"/>
  <c r="N2304" i="1"/>
  <c r="M2304" i="1"/>
  <c r="O2303" i="1" a="1"/>
  <c r="N2303" i="1"/>
  <c r="M2303" i="1"/>
  <c r="O2302" i="1" a="1"/>
  <c r="N2302" i="1"/>
  <c r="M2302" i="1"/>
  <c r="O2301" i="1" a="1"/>
  <c r="N2301" i="1"/>
  <c r="M2301" i="1"/>
  <c r="O2300" i="1" a="1"/>
  <c r="N2300" i="1"/>
  <c r="M2300" i="1"/>
  <c r="O2299" i="1" a="1"/>
  <c r="N2299" i="1"/>
  <c r="M2299" i="1"/>
  <c r="O2298" i="1" a="1"/>
  <c r="N2298" i="1"/>
  <c r="M2298" i="1"/>
  <c r="O2297" i="1" a="1"/>
  <c r="N2297" i="1"/>
  <c r="M2297" i="1"/>
  <c r="O2296" i="1" a="1"/>
  <c r="N2296" i="1"/>
  <c r="M2296" i="1"/>
  <c r="O2295" i="1" a="1"/>
  <c r="N2295" i="1"/>
  <c r="M2295" i="1"/>
  <c r="O2294" i="1" a="1"/>
  <c r="N2294" i="1"/>
  <c r="M2294" i="1"/>
  <c r="O2293" i="1" a="1"/>
  <c r="N2293" i="1"/>
  <c r="M2293" i="1"/>
  <c r="O2292" i="1" a="1"/>
  <c r="N2292" i="1"/>
  <c r="M2292" i="1"/>
  <c r="O2291" i="1" a="1"/>
  <c r="N2291" i="1"/>
  <c r="M2291" i="1"/>
  <c r="O2290" i="1" a="1"/>
  <c r="N2290" i="1"/>
  <c r="M2290" i="1"/>
  <c r="O2289" i="1" a="1"/>
  <c r="N2289" i="1"/>
  <c r="M2289" i="1"/>
  <c r="O2288" i="1" a="1"/>
  <c r="N2288" i="1"/>
  <c r="M2288" i="1"/>
  <c r="O2287" i="1" a="1"/>
  <c r="N2287" i="1"/>
  <c r="M2287" i="1"/>
  <c r="O2286" i="1" a="1"/>
  <c r="N2286" i="1"/>
  <c r="M2286" i="1"/>
  <c r="O2285" i="1" a="1"/>
  <c r="N2285" i="1"/>
  <c r="M2285" i="1"/>
  <c r="O2284" i="1" a="1"/>
  <c r="N2284" i="1"/>
  <c r="M2284" i="1"/>
  <c r="O2283" i="1" a="1"/>
  <c r="N2283" i="1"/>
  <c r="M2283" i="1"/>
  <c r="O2282" i="1" a="1"/>
  <c r="N2282" i="1"/>
  <c r="M2282" i="1"/>
  <c r="O2281" i="1" a="1"/>
  <c r="N2281" i="1"/>
  <c r="M2281" i="1"/>
  <c r="O2280" i="1" a="1"/>
  <c r="N2280" i="1"/>
  <c r="M2280" i="1"/>
  <c r="O2279" i="1" a="1"/>
  <c r="N2279" i="1"/>
  <c r="M2279" i="1"/>
  <c r="O2278" i="1" a="1"/>
  <c r="N2278" i="1"/>
  <c r="M2278" i="1"/>
  <c r="O2277" i="1" a="1"/>
  <c r="N2277" i="1"/>
  <c r="M2277" i="1"/>
  <c r="O2276" i="1" a="1"/>
  <c r="N2276" i="1"/>
  <c r="M2276" i="1"/>
  <c r="O2275" i="1" a="1"/>
  <c r="N2275" i="1"/>
  <c r="M2275" i="1"/>
  <c r="O2274" i="1" a="1"/>
  <c r="N2274" i="1"/>
  <c r="M2274" i="1"/>
  <c r="O2273" i="1" a="1"/>
  <c r="N2273" i="1"/>
  <c r="M2273" i="1"/>
  <c r="O2272" i="1" a="1"/>
  <c r="N2272" i="1"/>
  <c r="M2272" i="1"/>
  <c r="O2271" i="1" a="1"/>
  <c r="N2271" i="1"/>
  <c r="M2271" i="1"/>
  <c r="O2270" i="1" a="1"/>
  <c r="N2270" i="1"/>
  <c r="M2270" i="1"/>
  <c r="O2269" i="1" a="1"/>
  <c r="N2269" i="1"/>
  <c r="M2269" i="1"/>
  <c r="O2268" i="1" a="1"/>
  <c r="N2268" i="1"/>
  <c r="M2268" i="1"/>
  <c r="O2267" i="1" a="1"/>
  <c r="N2267" i="1"/>
  <c r="M2267" i="1"/>
  <c r="O2266" i="1" a="1"/>
  <c r="N2266" i="1"/>
  <c r="M2266" i="1"/>
  <c r="O2265" i="1" a="1"/>
  <c r="N2265" i="1"/>
  <c r="M2265" i="1"/>
  <c r="O2264" i="1" a="1"/>
  <c r="N2264" i="1"/>
  <c r="M2264" i="1"/>
  <c r="O2263" i="1" a="1"/>
  <c r="N2263" i="1"/>
  <c r="M2263" i="1"/>
  <c r="O2262" i="1" a="1"/>
  <c r="N2262" i="1"/>
  <c r="M2262" i="1"/>
  <c r="O2261" i="1" a="1"/>
  <c r="N2261" i="1"/>
  <c r="M2261" i="1"/>
  <c r="O2260" i="1" a="1"/>
  <c r="N2260" i="1"/>
  <c r="M2260" i="1"/>
  <c r="O2259" i="1" a="1"/>
  <c r="N2259" i="1"/>
  <c r="M2259" i="1"/>
  <c r="O2258" i="1" a="1"/>
  <c r="N2258" i="1"/>
  <c r="M2258" i="1"/>
  <c r="O2257" i="1" a="1"/>
  <c r="N2257" i="1"/>
  <c r="M2257" i="1"/>
  <c r="O2256" i="1" a="1"/>
  <c r="N2256" i="1"/>
  <c r="M2256" i="1"/>
  <c r="O2255" i="1" a="1"/>
  <c r="N2255" i="1"/>
  <c r="M2255" i="1"/>
  <c r="O2254" i="1" a="1"/>
  <c r="N2254" i="1"/>
  <c r="M2254" i="1"/>
  <c r="O2253" i="1" a="1"/>
  <c r="N2253" i="1"/>
  <c r="M2253" i="1"/>
  <c r="O2252" i="1" a="1"/>
  <c r="N2252" i="1"/>
  <c r="M2252" i="1"/>
  <c r="O2251" i="1" a="1"/>
  <c r="N2251" i="1"/>
  <c r="M2251" i="1"/>
  <c r="O2250" i="1" a="1"/>
  <c r="N2250" i="1"/>
  <c r="M2250" i="1"/>
  <c r="O2249" i="1" a="1"/>
  <c r="N2249" i="1"/>
  <c r="M2249" i="1"/>
  <c r="O2248" i="1" a="1"/>
  <c r="N2248" i="1"/>
  <c r="M2248" i="1"/>
  <c r="O2247" i="1" a="1"/>
  <c r="N2247" i="1"/>
  <c r="M2247" i="1"/>
  <c r="O2246" i="1" a="1"/>
  <c r="N2246" i="1"/>
  <c r="M2246" i="1"/>
  <c r="O2245" i="1" a="1"/>
  <c r="N2245" i="1"/>
  <c r="M2245" i="1"/>
  <c r="O2244" i="1" a="1"/>
  <c r="N2244" i="1"/>
  <c r="M2244" i="1"/>
  <c r="O2243" i="1" a="1"/>
  <c r="N2243" i="1"/>
  <c r="M2243" i="1"/>
  <c r="O2242" i="1" a="1"/>
  <c r="N2242" i="1"/>
  <c r="M2242" i="1"/>
  <c r="O2241" i="1" a="1"/>
  <c r="N2241" i="1"/>
  <c r="M2241" i="1"/>
  <c r="O2240" i="1" a="1"/>
  <c r="N2240" i="1"/>
  <c r="M2240" i="1"/>
  <c r="O2239" i="1" a="1"/>
  <c r="N2239" i="1"/>
  <c r="M2239" i="1"/>
  <c r="O2238" i="1" a="1"/>
  <c r="N2238" i="1"/>
  <c r="M2238" i="1"/>
  <c r="O2237" i="1" a="1"/>
  <c r="N2237" i="1"/>
  <c r="M2237" i="1"/>
  <c r="O2236" i="1" a="1"/>
  <c r="N2236" i="1"/>
  <c r="M2236" i="1"/>
  <c r="O2235" i="1" a="1"/>
  <c r="N2235" i="1"/>
  <c r="M2235" i="1"/>
  <c r="O2234" i="1" a="1"/>
  <c r="N2234" i="1"/>
  <c r="M2234" i="1"/>
  <c r="O2233" i="1" a="1"/>
  <c r="N2233" i="1"/>
  <c r="M2233" i="1"/>
  <c r="O2232" i="1" a="1"/>
  <c r="N2232" i="1"/>
  <c r="M2232" i="1"/>
  <c r="O2231" i="1" a="1"/>
  <c r="N2231" i="1"/>
  <c r="M2231" i="1"/>
  <c r="O2230" i="1" a="1"/>
  <c r="N2230" i="1"/>
  <c r="M2230" i="1"/>
  <c r="O2229" i="1" a="1"/>
  <c r="N2229" i="1"/>
  <c r="M2229" i="1"/>
  <c r="O2228" i="1" a="1"/>
  <c r="N2228" i="1"/>
  <c r="M2228" i="1"/>
  <c r="O2227" i="1" a="1"/>
  <c r="N2227" i="1"/>
  <c r="M2227" i="1"/>
  <c r="O2226" i="1" a="1"/>
  <c r="N2226" i="1"/>
  <c r="M2226" i="1"/>
  <c r="O2225" i="1" a="1"/>
  <c r="N2225" i="1"/>
  <c r="M2225" i="1"/>
  <c r="O2224" i="1" a="1"/>
  <c r="N2224" i="1"/>
  <c r="M2224" i="1"/>
  <c r="O2223" i="1" a="1"/>
  <c r="N2223" i="1"/>
  <c r="M2223" i="1"/>
  <c r="O2222" i="1" a="1"/>
  <c r="N2222" i="1"/>
  <c r="M2222" i="1"/>
  <c r="O2221" i="1" a="1"/>
  <c r="N2221" i="1"/>
  <c r="M2221" i="1"/>
  <c r="O2220" i="1" a="1"/>
  <c r="N2220" i="1"/>
  <c r="M2220" i="1"/>
  <c r="O2219" i="1" a="1"/>
  <c r="N2219" i="1"/>
  <c r="M2219" i="1"/>
  <c r="O2218" i="1" a="1"/>
  <c r="N2218" i="1"/>
  <c r="M2218" i="1"/>
  <c r="O2217" i="1" a="1"/>
  <c r="N2217" i="1"/>
  <c r="M2217" i="1"/>
  <c r="O2216" i="1" a="1"/>
  <c r="N2216" i="1"/>
  <c r="M2216" i="1"/>
  <c r="O2215" i="1" a="1"/>
  <c r="N2215" i="1"/>
  <c r="M2215" i="1"/>
  <c r="O2214" i="1" a="1"/>
  <c r="N2214" i="1"/>
  <c r="M2214" i="1"/>
  <c r="O2213" i="1" a="1"/>
  <c r="N2213" i="1"/>
  <c r="M2213" i="1"/>
  <c r="O2212" i="1" a="1"/>
  <c r="N2212" i="1"/>
  <c r="M2212" i="1"/>
  <c r="O2211" i="1" a="1"/>
  <c r="N2211" i="1"/>
  <c r="M2211" i="1"/>
  <c r="O2210" i="1" a="1"/>
  <c r="N2210" i="1"/>
  <c r="M2210" i="1"/>
  <c r="O2209" i="1" a="1"/>
  <c r="N2209" i="1"/>
  <c r="M2209" i="1"/>
  <c r="O2208" i="1" a="1"/>
  <c r="N2208" i="1"/>
  <c r="M2208" i="1"/>
  <c r="O2207" i="1" a="1"/>
  <c r="N2207" i="1"/>
  <c r="M2207" i="1"/>
  <c r="O2206" i="1" a="1"/>
  <c r="N2206" i="1"/>
  <c r="M2206" i="1"/>
  <c r="O2205" i="1" a="1"/>
  <c r="N2205" i="1"/>
  <c r="M2205" i="1"/>
  <c r="O2204" i="1" a="1"/>
  <c r="N2204" i="1"/>
  <c r="M2204" i="1"/>
  <c r="O2203" i="1" a="1"/>
  <c r="N2203" i="1"/>
  <c r="M2203" i="1"/>
  <c r="O2202" i="1" a="1"/>
  <c r="N2202" i="1"/>
  <c r="M2202" i="1"/>
  <c r="O2201" i="1" a="1"/>
  <c r="N2201" i="1"/>
  <c r="M2201" i="1"/>
  <c r="O2200" i="1" a="1"/>
  <c r="N2200" i="1"/>
  <c r="M2200" i="1"/>
  <c r="O2199" i="1" a="1"/>
  <c r="N2199" i="1"/>
  <c r="M2199" i="1"/>
  <c r="O2198" i="1" a="1"/>
  <c r="N2198" i="1"/>
  <c r="M2198" i="1"/>
  <c r="O2197" i="1" a="1"/>
  <c r="N2197" i="1"/>
  <c r="M2197" i="1"/>
  <c r="O2196" i="1" a="1"/>
  <c r="N2196" i="1"/>
  <c r="M2196" i="1"/>
  <c r="O2195" i="1" a="1"/>
  <c r="N2195" i="1"/>
  <c r="M2195" i="1"/>
  <c r="O2194" i="1" a="1"/>
  <c r="N2194" i="1"/>
  <c r="M2194" i="1"/>
  <c r="O2193" i="1" a="1"/>
  <c r="N2193" i="1"/>
  <c r="M2193" i="1"/>
  <c r="O2192" i="1" a="1"/>
  <c r="N2192" i="1"/>
  <c r="M2192" i="1"/>
  <c r="O2191" i="1" a="1"/>
  <c r="N2191" i="1"/>
  <c r="M2191" i="1"/>
  <c r="O2190" i="1" a="1"/>
  <c r="N2190" i="1"/>
  <c r="M2190" i="1"/>
  <c r="O2189" i="1" a="1"/>
  <c r="N2189" i="1"/>
  <c r="M2189" i="1"/>
  <c r="O2188" i="1" a="1"/>
  <c r="N2188" i="1"/>
  <c r="M2188" i="1"/>
  <c r="O2187" i="1" a="1"/>
  <c r="N2187" i="1"/>
  <c r="M2187" i="1"/>
  <c r="O2186" i="1" a="1"/>
  <c r="N2186" i="1"/>
  <c r="M2186" i="1"/>
  <c r="O2185" i="1" a="1"/>
  <c r="N2185" i="1"/>
  <c r="M2185" i="1"/>
  <c r="O2184" i="1" a="1"/>
  <c r="N2184" i="1"/>
  <c r="M2184" i="1"/>
  <c r="O2183" i="1" a="1"/>
  <c r="N2183" i="1"/>
  <c r="M2183" i="1"/>
  <c r="O2182" i="1" a="1"/>
  <c r="N2182" i="1"/>
  <c r="M2182" i="1"/>
  <c r="O2181" i="1" a="1"/>
  <c r="N2181" i="1"/>
  <c r="M2181" i="1"/>
  <c r="O2180" i="1" a="1"/>
  <c r="N2180" i="1"/>
  <c r="M2180" i="1"/>
  <c r="O2179" i="1" a="1"/>
  <c r="N2179" i="1"/>
  <c r="M2179" i="1"/>
  <c r="O2178" i="1" a="1"/>
  <c r="N2178" i="1"/>
  <c r="M2178" i="1"/>
  <c r="O2177" i="1" a="1"/>
  <c r="N2177" i="1"/>
  <c r="M2177" i="1"/>
  <c r="O2176" i="1" a="1"/>
  <c r="N2176" i="1"/>
  <c r="M2176" i="1"/>
  <c r="O2175" i="1" a="1"/>
  <c r="N2175" i="1"/>
  <c r="M2175" i="1"/>
  <c r="O2174" i="1" a="1"/>
  <c r="N2174" i="1"/>
  <c r="M2174" i="1"/>
  <c r="O2173" i="1" a="1"/>
  <c r="N2173" i="1"/>
  <c r="M2173" i="1"/>
  <c r="O2172" i="1" a="1"/>
  <c r="N2172" i="1"/>
  <c r="M2172" i="1"/>
  <c r="O2171" i="1" a="1"/>
  <c r="N2171" i="1"/>
  <c r="M2171" i="1"/>
  <c r="O2170" i="1" a="1"/>
  <c r="N2170" i="1"/>
  <c r="M2170" i="1"/>
  <c r="O2169" i="1" a="1"/>
  <c r="N2169" i="1"/>
  <c r="M2169" i="1"/>
  <c r="O2168" i="1" a="1"/>
  <c r="N2168" i="1"/>
  <c r="M2168" i="1"/>
  <c r="O2167" i="1" a="1"/>
  <c r="N2167" i="1"/>
  <c r="M2167" i="1"/>
  <c r="O2166" i="1" a="1"/>
  <c r="N2166" i="1"/>
  <c r="M2166" i="1"/>
  <c r="O2165" i="1" a="1"/>
  <c r="N2165" i="1"/>
  <c r="M2165" i="1"/>
  <c r="O2164" i="1" a="1"/>
  <c r="N2164" i="1"/>
  <c r="M2164" i="1"/>
  <c r="O2163" i="1" a="1"/>
  <c r="N2163" i="1"/>
  <c r="M2163" i="1"/>
  <c r="O2162" i="1" a="1"/>
  <c r="N2162" i="1"/>
  <c r="M2162" i="1"/>
  <c r="O2161" i="1" a="1"/>
  <c r="N2161" i="1"/>
  <c r="M2161" i="1"/>
  <c r="O2160" i="1" a="1"/>
  <c r="N2160" i="1"/>
  <c r="M2160" i="1"/>
  <c r="O2159" i="1" a="1"/>
  <c r="N2159" i="1"/>
  <c r="M2159" i="1"/>
  <c r="O2158" i="1" a="1"/>
  <c r="N2158" i="1"/>
  <c r="M2158" i="1"/>
  <c r="O2157" i="1" a="1"/>
  <c r="N2157" i="1"/>
  <c r="M2157" i="1"/>
  <c r="O2156" i="1" a="1"/>
  <c r="N2156" i="1"/>
  <c r="M2156" i="1"/>
  <c r="O2155" i="1" a="1"/>
  <c r="N2155" i="1"/>
  <c r="M2155" i="1"/>
  <c r="O2154" i="1" a="1"/>
  <c r="N2154" i="1"/>
  <c r="M2154" i="1"/>
  <c r="O2153" i="1" a="1"/>
  <c r="N2153" i="1"/>
  <c r="M2153" i="1"/>
  <c r="O2152" i="1" a="1"/>
  <c r="N2152" i="1"/>
  <c r="M2152" i="1"/>
  <c r="O2151" i="1" a="1"/>
  <c r="N2151" i="1"/>
  <c r="M2151" i="1"/>
  <c r="O2150" i="1" a="1"/>
  <c r="N2150" i="1"/>
  <c r="M2150" i="1"/>
  <c r="O2149" i="1" a="1"/>
  <c r="N2149" i="1"/>
  <c r="M2149" i="1"/>
  <c r="O2148" i="1" a="1"/>
  <c r="N2148" i="1"/>
  <c r="M2148" i="1"/>
  <c r="O2147" i="1" a="1"/>
  <c r="N2147" i="1"/>
  <c r="M2147" i="1"/>
  <c r="O2146" i="1" a="1"/>
  <c r="N2146" i="1"/>
  <c r="M2146" i="1"/>
  <c r="O2145" i="1" a="1"/>
  <c r="N2145" i="1"/>
  <c r="M2145" i="1"/>
  <c r="O2144" i="1" a="1"/>
  <c r="N2144" i="1"/>
  <c r="M2144" i="1"/>
  <c r="O2143" i="1" a="1"/>
  <c r="N2143" i="1"/>
  <c r="M2143" i="1"/>
  <c r="O2142" i="1" a="1"/>
  <c r="N2142" i="1"/>
  <c r="M2142" i="1"/>
  <c r="O2141" i="1" a="1"/>
  <c r="N2141" i="1"/>
  <c r="M2141" i="1"/>
  <c r="O2140" i="1" a="1"/>
  <c r="N2140" i="1"/>
  <c r="M2140" i="1"/>
  <c r="O2139" i="1" a="1"/>
  <c r="N2139" i="1"/>
  <c r="M2139" i="1"/>
  <c r="O2138" i="1" a="1"/>
  <c r="N2138" i="1"/>
  <c r="M2138" i="1"/>
  <c r="O2137" i="1" a="1"/>
  <c r="N2137" i="1"/>
  <c r="M2137" i="1"/>
  <c r="O2136" i="1" a="1"/>
  <c r="N2136" i="1"/>
  <c r="M2136" i="1"/>
  <c r="O2135" i="1" a="1"/>
  <c r="N2135" i="1"/>
  <c r="M2135" i="1"/>
  <c r="O2134" i="1" a="1"/>
  <c r="N2134" i="1"/>
  <c r="M2134" i="1"/>
  <c r="O2133" i="1" a="1"/>
  <c r="N2133" i="1"/>
  <c r="M2133" i="1"/>
  <c r="O2132" i="1" a="1"/>
  <c r="N2132" i="1"/>
  <c r="M2132" i="1"/>
  <c r="O2131" i="1" a="1"/>
  <c r="N2131" i="1"/>
  <c r="M2131" i="1"/>
  <c r="O2130" i="1" a="1"/>
  <c r="N2130" i="1"/>
  <c r="M2130" i="1"/>
  <c r="O2129" i="1" a="1"/>
  <c r="N2129" i="1"/>
  <c r="M2129" i="1"/>
  <c r="O2128" i="1" a="1"/>
  <c r="N2128" i="1"/>
  <c r="M2128" i="1"/>
  <c r="O2127" i="1" a="1"/>
  <c r="N2127" i="1"/>
  <c r="M2127" i="1"/>
  <c r="O2126" i="1" a="1"/>
  <c r="N2126" i="1"/>
  <c r="M2126" i="1"/>
  <c r="O2125" i="1" a="1"/>
  <c r="N2125" i="1"/>
  <c r="M2125" i="1"/>
  <c r="O2124" i="1" a="1"/>
  <c r="N2124" i="1"/>
  <c r="M2124" i="1"/>
  <c r="O2123" i="1" a="1"/>
  <c r="N2123" i="1"/>
  <c r="M2123" i="1"/>
  <c r="O2122" i="1" a="1"/>
  <c r="N2122" i="1"/>
  <c r="M2122" i="1"/>
  <c r="O2121" i="1" a="1"/>
  <c r="N2121" i="1"/>
  <c r="M2121" i="1"/>
  <c r="O2120" i="1" a="1"/>
  <c r="N2120" i="1"/>
  <c r="M2120" i="1"/>
  <c r="O2119" i="1" a="1"/>
  <c r="N2119" i="1"/>
  <c r="M2119" i="1"/>
  <c r="O2118" i="1" a="1"/>
  <c r="N2118" i="1"/>
  <c r="M2118" i="1"/>
  <c r="O2117" i="1" a="1"/>
  <c r="N2117" i="1"/>
  <c r="M2117" i="1"/>
  <c r="O2116" i="1" a="1"/>
  <c r="N2116" i="1"/>
  <c r="M2116" i="1"/>
  <c r="O2115" i="1" a="1"/>
  <c r="N2115" i="1"/>
  <c r="M2115" i="1"/>
  <c r="O2114" i="1" a="1"/>
  <c r="N2114" i="1"/>
  <c r="M2114" i="1"/>
  <c r="O2113" i="1" a="1"/>
  <c r="N2113" i="1"/>
  <c r="M2113" i="1"/>
  <c r="O2112" i="1" a="1"/>
  <c r="N2112" i="1"/>
  <c r="M2112" i="1"/>
  <c r="O2111" i="1" a="1"/>
  <c r="N2111" i="1"/>
  <c r="M2111" i="1"/>
  <c r="O2110" i="1" a="1"/>
  <c r="N2110" i="1"/>
  <c r="M2110" i="1"/>
  <c r="O2109" i="1" a="1"/>
  <c r="N2109" i="1"/>
  <c r="M2109" i="1"/>
  <c r="O2108" i="1" a="1"/>
  <c r="N2108" i="1"/>
  <c r="M2108" i="1"/>
  <c r="O2107" i="1" a="1"/>
  <c r="N2107" i="1"/>
  <c r="M2107" i="1"/>
  <c r="O2106" i="1" a="1"/>
  <c r="N2106" i="1"/>
  <c r="M2106" i="1"/>
  <c r="O2105" i="1" a="1"/>
  <c r="N2105" i="1"/>
  <c r="M2105" i="1"/>
  <c r="O2104" i="1" a="1"/>
  <c r="N2104" i="1"/>
  <c r="M2104" i="1"/>
  <c r="O2103" i="1" a="1"/>
  <c r="N2103" i="1"/>
  <c r="M2103" i="1"/>
  <c r="O2102" i="1" a="1"/>
  <c r="N2102" i="1"/>
  <c r="M2102" i="1"/>
  <c r="O2101" i="1" a="1"/>
  <c r="N2101" i="1"/>
  <c r="M2101" i="1"/>
  <c r="O2100" i="1" a="1"/>
  <c r="N2100" i="1"/>
  <c r="M2100" i="1"/>
  <c r="O2099" i="1" a="1"/>
  <c r="N2099" i="1"/>
  <c r="M2099" i="1"/>
  <c r="O2098" i="1" a="1"/>
  <c r="N2098" i="1"/>
  <c r="M2098" i="1"/>
  <c r="O2097" i="1" a="1"/>
  <c r="N2097" i="1"/>
  <c r="M2097" i="1"/>
  <c r="O2096" i="1" a="1"/>
  <c r="N2096" i="1"/>
  <c r="M2096" i="1"/>
  <c r="O2095" i="1" a="1"/>
  <c r="N2095" i="1"/>
  <c r="M2095" i="1"/>
  <c r="O2094" i="1" a="1"/>
  <c r="N2094" i="1"/>
  <c r="M2094" i="1"/>
  <c r="O2093" i="1" a="1"/>
  <c r="N2093" i="1"/>
  <c r="M2093" i="1"/>
  <c r="O2092" i="1" a="1"/>
  <c r="N2092" i="1"/>
  <c r="M2092" i="1"/>
  <c r="O2091" i="1" a="1"/>
  <c r="N2091" i="1"/>
  <c r="M2091" i="1"/>
  <c r="O2090" i="1" a="1"/>
  <c r="N2090" i="1"/>
  <c r="M2090" i="1"/>
  <c r="O2089" i="1" a="1"/>
  <c r="N2089" i="1"/>
  <c r="M2089" i="1"/>
  <c r="O2088" i="1" a="1"/>
  <c r="N2088" i="1"/>
  <c r="M2088" i="1"/>
  <c r="O2087" i="1" a="1"/>
  <c r="N2087" i="1"/>
  <c r="M2087" i="1"/>
  <c r="O2086" i="1" a="1"/>
  <c r="N2086" i="1"/>
  <c r="M2086" i="1"/>
  <c r="O2085" i="1" a="1"/>
  <c r="N2085" i="1"/>
  <c r="M2085" i="1"/>
  <c r="O2084" i="1" a="1"/>
  <c r="N2084" i="1"/>
  <c r="M2084" i="1"/>
  <c r="O2083" i="1" a="1"/>
  <c r="N2083" i="1"/>
  <c r="M2083" i="1"/>
  <c r="O2082" i="1" a="1"/>
  <c r="N2082" i="1"/>
  <c r="M2082" i="1"/>
  <c r="O2081" i="1" a="1"/>
  <c r="N2081" i="1"/>
  <c r="M2081" i="1"/>
  <c r="O2080" i="1" a="1"/>
  <c r="N2080" i="1"/>
  <c r="M2080" i="1"/>
  <c r="O2079" i="1" a="1"/>
  <c r="N2079" i="1"/>
  <c r="M2079" i="1"/>
  <c r="O2078" i="1" a="1"/>
  <c r="N2078" i="1"/>
  <c r="M2078" i="1"/>
  <c r="O2077" i="1" a="1"/>
  <c r="N2077" i="1"/>
  <c r="M2077" i="1"/>
  <c r="O2076" i="1" a="1"/>
  <c r="N2076" i="1"/>
  <c r="M2076" i="1"/>
  <c r="O2075" i="1" a="1"/>
  <c r="N2075" i="1"/>
  <c r="M2075" i="1"/>
  <c r="O2074" i="1" a="1"/>
  <c r="N2074" i="1"/>
  <c r="M2074" i="1"/>
  <c r="O2073" i="1" a="1"/>
  <c r="N2073" i="1"/>
  <c r="M2073" i="1"/>
  <c r="O2072" i="1" a="1"/>
  <c r="N2072" i="1"/>
  <c r="M2072" i="1"/>
  <c r="O2071" i="1" a="1"/>
  <c r="N2071" i="1"/>
  <c r="M2071" i="1"/>
  <c r="O2070" i="1" a="1"/>
  <c r="N2070" i="1"/>
  <c r="M2070" i="1"/>
  <c r="O2069" i="1" a="1"/>
  <c r="N2069" i="1"/>
  <c r="M2069" i="1"/>
  <c r="O2068" i="1" a="1"/>
  <c r="N2068" i="1"/>
  <c r="M2068" i="1"/>
  <c r="O2067" i="1" a="1"/>
  <c r="N2067" i="1"/>
  <c r="M2067" i="1"/>
  <c r="O2066" i="1" a="1"/>
  <c r="N2066" i="1"/>
  <c r="M2066" i="1"/>
  <c r="O2065" i="1" a="1"/>
  <c r="N2065" i="1"/>
  <c r="M2065" i="1"/>
  <c r="O2064" i="1" a="1"/>
  <c r="N2064" i="1"/>
  <c r="M2064" i="1"/>
  <c r="O2063" i="1" a="1"/>
  <c r="N2063" i="1"/>
  <c r="M2063" i="1"/>
  <c r="O2062" i="1" a="1"/>
  <c r="N2062" i="1"/>
  <c r="M2062" i="1"/>
  <c r="O2061" i="1" a="1"/>
  <c r="N2061" i="1"/>
  <c r="M2061" i="1"/>
  <c r="O2060" i="1" a="1"/>
  <c r="N2060" i="1"/>
  <c r="M2060" i="1"/>
  <c r="O2059" i="1" a="1"/>
  <c r="N2059" i="1"/>
  <c r="M2059" i="1"/>
  <c r="O2058" i="1" a="1"/>
  <c r="N2058" i="1"/>
  <c r="M2058" i="1"/>
  <c r="O2057" i="1" a="1"/>
  <c r="N2057" i="1"/>
  <c r="M2057" i="1"/>
  <c r="O2056" i="1" a="1"/>
  <c r="N2056" i="1"/>
  <c r="M2056" i="1"/>
  <c r="O2055" i="1" a="1"/>
  <c r="N2055" i="1"/>
  <c r="M2055" i="1"/>
  <c r="O2054" i="1" a="1"/>
  <c r="N2054" i="1"/>
  <c r="M2054" i="1"/>
  <c r="O2053" i="1" a="1"/>
  <c r="N2053" i="1"/>
  <c r="M2053" i="1"/>
  <c r="O2052" i="1" a="1"/>
  <c r="N2052" i="1"/>
  <c r="M2052" i="1"/>
  <c r="O2051" i="1" a="1"/>
  <c r="N2051" i="1"/>
  <c r="M2051" i="1"/>
  <c r="O2050" i="1" a="1"/>
  <c r="N2050" i="1"/>
  <c r="M2050" i="1"/>
  <c r="O2049" i="1" a="1"/>
  <c r="N2049" i="1"/>
  <c r="M2049" i="1"/>
  <c r="O2048" i="1" a="1"/>
  <c r="N2048" i="1"/>
  <c r="M2048" i="1"/>
  <c r="O2047" i="1" a="1"/>
  <c r="N2047" i="1"/>
  <c r="M2047" i="1"/>
  <c r="O2046" i="1" a="1"/>
  <c r="N2046" i="1"/>
  <c r="M2046" i="1"/>
  <c r="O2045" i="1" a="1"/>
  <c r="N2045" i="1"/>
  <c r="M2045" i="1"/>
  <c r="O2044" i="1" a="1"/>
  <c r="N2044" i="1"/>
  <c r="M2044" i="1"/>
  <c r="O2043" i="1" a="1"/>
  <c r="N2043" i="1"/>
  <c r="M2043" i="1"/>
  <c r="O2042" i="1" a="1"/>
  <c r="N2042" i="1"/>
  <c r="M2042" i="1"/>
  <c r="O2041" i="1" a="1"/>
  <c r="N2041" i="1"/>
  <c r="M2041" i="1"/>
  <c r="O2040" i="1" a="1"/>
  <c r="N2040" i="1"/>
  <c r="M2040" i="1"/>
  <c r="O2039" i="1" a="1"/>
  <c r="N2039" i="1"/>
  <c r="M2039" i="1"/>
  <c r="O2038" i="1" a="1"/>
  <c r="N2038" i="1"/>
  <c r="M2038" i="1"/>
  <c r="O2037" i="1" a="1"/>
  <c r="N2037" i="1"/>
  <c r="M2037" i="1"/>
  <c r="O2036" i="1" a="1"/>
  <c r="N2036" i="1"/>
  <c r="M2036" i="1"/>
  <c r="O2035" i="1" a="1"/>
  <c r="N2035" i="1"/>
  <c r="M2035" i="1"/>
  <c r="O2034" i="1" a="1"/>
  <c r="N2034" i="1"/>
  <c r="M2034" i="1"/>
  <c r="O2033" i="1" a="1"/>
  <c r="N2033" i="1"/>
  <c r="M2033" i="1"/>
  <c r="O2032" i="1" a="1"/>
  <c r="N2032" i="1"/>
  <c r="M2032" i="1"/>
  <c r="O2031" i="1" a="1"/>
  <c r="N2031" i="1"/>
  <c r="M2031" i="1"/>
  <c r="O2030" i="1" a="1"/>
  <c r="N2030" i="1"/>
  <c r="M2030" i="1"/>
  <c r="O2029" i="1" a="1"/>
  <c r="N2029" i="1"/>
  <c r="M2029" i="1"/>
  <c r="O2028" i="1" a="1"/>
  <c r="N2028" i="1"/>
  <c r="M2028" i="1"/>
  <c r="O2027" i="1" a="1"/>
  <c r="N2027" i="1"/>
  <c r="M2027" i="1"/>
  <c r="O2026" i="1" a="1"/>
  <c r="N2026" i="1"/>
  <c r="M2026" i="1"/>
  <c r="O2025" i="1" a="1"/>
  <c r="N2025" i="1"/>
  <c r="M2025" i="1"/>
  <c r="O2024" i="1" a="1"/>
  <c r="N2024" i="1"/>
  <c r="M2024" i="1"/>
  <c r="O2023" i="1" a="1"/>
  <c r="N2023" i="1"/>
  <c r="M2023" i="1"/>
  <c r="O2022" i="1" a="1"/>
  <c r="N2022" i="1"/>
  <c r="M2022" i="1"/>
  <c r="O2021" i="1" a="1"/>
  <c r="N2021" i="1"/>
  <c r="M2021" i="1"/>
  <c r="O2020" i="1" a="1"/>
  <c r="N2020" i="1"/>
  <c r="M2020" i="1"/>
  <c r="O2019" i="1" a="1"/>
  <c r="N2019" i="1"/>
  <c r="M2019" i="1"/>
  <c r="O2018" i="1" a="1"/>
  <c r="N2018" i="1"/>
  <c r="M2018" i="1"/>
  <c r="O2017" i="1" a="1"/>
  <c r="N2017" i="1"/>
  <c r="M2017" i="1"/>
  <c r="O2016" i="1" a="1"/>
  <c r="N2016" i="1"/>
  <c r="M2016" i="1"/>
  <c r="O2015" i="1" a="1"/>
  <c r="N2015" i="1"/>
  <c r="M2015" i="1"/>
  <c r="O2014" i="1" a="1"/>
  <c r="N2014" i="1"/>
  <c r="M2014" i="1"/>
  <c r="O2013" i="1" a="1"/>
  <c r="N2013" i="1"/>
  <c r="M2013" i="1"/>
  <c r="O2012" i="1" a="1"/>
  <c r="N2012" i="1"/>
  <c r="M2012" i="1"/>
  <c r="O2011" i="1" a="1"/>
  <c r="N2011" i="1"/>
  <c r="M2011" i="1"/>
  <c r="O2010" i="1" a="1"/>
  <c r="N2010" i="1"/>
  <c r="M2010" i="1"/>
  <c r="O2009" i="1" a="1"/>
  <c r="N2009" i="1"/>
  <c r="M2009" i="1"/>
  <c r="O2008" i="1" a="1"/>
  <c r="N2008" i="1"/>
  <c r="M2008" i="1"/>
  <c r="O2007" i="1" a="1"/>
  <c r="N2007" i="1"/>
  <c r="M2007" i="1"/>
  <c r="O2006" i="1" a="1"/>
  <c r="N2006" i="1"/>
  <c r="M2006" i="1"/>
  <c r="O2005" i="1" a="1"/>
  <c r="N2005" i="1"/>
  <c r="M2005" i="1"/>
  <c r="O2004" i="1" a="1"/>
  <c r="N2004" i="1"/>
  <c r="M2004" i="1"/>
  <c r="O2003" i="1" a="1"/>
  <c r="N2003" i="1"/>
  <c r="M2003" i="1"/>
  <c r="O2002" i="1" a="1"/>
  <c r="N2002" i="1"/>
  <c r="M2002" i="1"/>
  <c r="O2001" i="1" a="1"/>
  <c r="N2001" i="1"/>
  <c r="M2001" i="1"/>
  <c r="O2000" i="1" a="1"/>
  <c r="N2000" i="1"/>
  <c r="M2000" i="1"/>
  <c r="O1999" i="1" a="1"/>
  <c r="N1999" i="1"/>
  <c r="M1999" i="1"/>
  <c r="O1998" i="1" a="1"/>
  <c r="N1998" i="1"/>
  <c r="M1998" i="1"/>
  <c r="O1997" i="1" a="1"/>
  <c r="N1997" i="1"/>
  <c r="M1997" i="1"/>
  <c r="O1996" i="1" a="1"/>
  <c r="N1996" i="1"/>
  <c r="M1996" i="1"/>
  <c r="O1995" i="1" a="1"/>
  <c r="N1995" i="1"/>
  <c r="M1995" i="1"/>
  <c r="O1994" i="1" a="1"/>
  <c r="N1994" i="1"/>
  <c r="M1994" i="1"/>
  <c r="O1993" i="1" a="1"/>
  <c r="N1993" i="1"/>
  <c r="M1993" i="1"/>
  <c r="O1992" i="1" a="1"/>
  <c r="N1992" i="1"/>
  <c r="M1992" i="1"/>
  <c r="O1991" i="1" a="1"/>
  <c r="N1991" i="1"/>
  <c r="M1991" i="1"/>
  <c r="O1990" i="1" a="1"/>
  <c r="N1990" i="1"/>
  <c r="M1990" i="1"/>
  <c r="O1989" i="1" a="1"/>
  <c r="N1989" i="1"/>
  <c r="M1989" i="1"/>
  <c r="O1988" i="1" a="1"/>
  <c r="N1988" i="1"/>
  <c r="M1988" i="1"/>
  <c r="O1987" i="1" a="1"/>
  <c r="N1987" i="1"/>
  <c r="M1987" i="1"/>
  <c r="O1986" i="1" a="1"/>
  <c r="N1986" i="1"/>
  <c r="M1986" i="1"/>
  <c r="O1985" i="1" a="1"/>
  <c r="N1985" i="1"/>
  <c r="M1985" i="1"/>
  <c r="O1984" i="1" a="1"/>
  <c r="N1984" i="1"/>
  <c r="M1984" i="1"/>
  <c r="O1983" i="1" a="1"/>
  <c r="N1983" i="1"/>
  <c r="M1983" i="1"/>
  <c r="O1982" i="1" a="1"/>
  <c r="N1982" i="1"/>
  <c r="M1982" i="1"/>
  <c r="O1981" i="1" a="1"/>
  <c r="N1981" i="1"/>
  <c r="M1981" i="1"/>
  <c r="O1980" i="1" a="1"/>
  <c r="N1980" i="1"/>
  <c r="M1980" i="1"/>
  <c r="O1979" i="1" a="1"/>
  <c r="N1979" i="1"/>
  <c r="M1979" i="1"/>
  <c r="O1978" i="1" a="1"/>
  <c r="N1978" i="1"/>
  <c r="M1978" i="1"/>
  <c r="O1977" i="1" a="1"/>
  <c r="N1977" i="1"/>
  <c r="M1977" i="1"/>
  <c r="O1976" i="1" a="1"/>
  <c r="N1976" i="1"/>
  <c r="M1976" i="1"/>
  <c r="O1975" i="1" a="1"/>
  <c r="N1975" i="1"/>
  <c r="M1975" i="1"/>
  <c r="O1974" i="1" a="1"/>
  <c r="N1974" i="1"/>
  <c r="M1974" i="1"/>
  <c r="O1973" i="1" a="1"/>
  <c r="N1973" i="1"/>
  <c r="M1973" i="1"/>
  <c r="O1972" i="1" a="1"/>
  <c r="N1972" i="1"/>
  <c r="M1972" i="1"/>
  <c r="O1971" i="1" a="1"/>
  <c r="N1971" i="1"/>
  <c r="M1971" i="1"/>
  <c r="O1970" i="1" a="1"/>
  <c r="N1970" i="1"/>
  <c r="M1970" i="1"/>
  <c r="O1969" i="1" a="1"/>
  <c r="N1969" i="1"/>
  <c r="M1969" i="1"/>
  <c r="O1968" i="1" a="1"/>
  <c r="N1968" i="1"/>
  <c r="M1968" i="1"/>
  <c r="O1967" i="1" a="1"/>
  <c r="N1967" i="1"/>
  <c r="M1967" i="1"/>
  <c r="O1966" i="1" a="1"/>
  <c r="N1966" i="1"/>
  <c r="M1966" i="1"/>
  <c r="O1965" i="1" a="1"/>
  <c r="N1965" i="1"/>
  <c r="M1965" i="1"/>
  <c r="O1964" i="1" a="1"/>
  <c r="N1964" i="1"/>
  <c r="M1964" i="1"/>
  <c r="O1963" i="1" a="1"/>
  <c r="N1963" i="1"/>
  <c r="M1963" i="1"/>
  <c r="O1962" i="1" a="1"/>
  <c r="N1962" i="1"/>
  <c r="M1962" i="1"/>
  <c r="O1961" i="1" a="1"/>
  <c r="N1961" i="1"/>
  <c r="M1961" i="1"/>
  <c r="O1960" i="1" a="1"/>
  <c r="N1960" i="1"/>
  <c r="M1960" i="1"/>
  <c r="O1959" i="1" a="1"/>
  <c r="N1959" i="1"/>
  <c r="M1959" i="1"/>
  <c r="O1958" i="1" a="1"/>
  <c r="N1958" i="1"/>
  <c r="M1958" i="1"/>
  <c r="O1957" i="1" a="1"/>
  <c r="N1957" i="1"/>
  <c r="M1957" i="1"/>
  <c r="O1956" i="1" a="1"/>
  <c r="N1956" i="1"/>
  <c r="M1956" i="1"/>
  <c r="O1955" i="1" a="1"/>
  <c r="N1955" i="1"/>
  <c r="M1955" i="1"/>
  <c r="O1954" i="1" a="1"/>
  <c r="N1954" i="1"/>
  <c r="M1954" i="1"/>
  <c r="O1953" i="1" a="1"/>
  <c r="N1953" i="1"/>
  <c r="M1953" i="1"/>
  <c r="O1952" i="1" a="1"/>
  <c r="N1952" i="1"/>
  <c r="M1952" i="1"/>
  <c r="O1951" i="1" a="1"/>
  <c r="N1951" i="1"/>
  <c r="M1951" i="1"/>
  <c r="O1950" i="1" a="1"/>
  <c r="N1950" i="1"/>
  <c r="M1950" i="1"/>
  <c r="O1949" i="1" a="1"/>
  <c r="N1949" i="1"/>
  <c r="M1949" i="1"/>
  <c r="O1948" i="1" a="1"/>
  <c r="N1948" i="1"/>
  <c r="M1948" i="1"/>
  <c r="O1947" i="1" a="1"/>
  <c r="N1947" i="1"/>
  <c r="M1947" i="1"/>
  <c r="O1946" i="1" a="1"/>
  <c r="N1946" i="1"/>
  <c r="M1946" i="1"/>
  <c r="O1945" i="1" a="1"/>
  <c r="N1945" i="1"/>
  <c r="M1945" i="1"/>
  <c r="O1944" i="1" a="1"/>
  <c r="N1944" i="1"/>
  <c r="M1944" i="1"/>
  <c r="O1943" i="1" a="1"/>
  <c r="N1943" i="1"/>
  <c r="M1943" i="1"/>
  <c r="O1942" i="1" a="1"/>
  <c r="N1942" i="1"/>
  <c r="M1942" i="1"/>
  <c r="O1941" i="1" a="1"/>
  <c r="N1941" i="1"/>
  <c r="M1941" i="1"/>
  <c r="O1940" i="1" a="1"/>
  <c r="N1940" i="1"/>
  <c r="M1940" i="1"/>
  <c r="O1939" i="1" a="1"/>
  <c r="N1939" i="1"/>
  <c r="M1939" i="1"/>
  <c r="O1938" i="1" a="1"/>
  <c r="N1938" i="1"/>
  <c r="M1938" i="1"/>
  <c r="O1937" i="1" a="1"/>
  <c r="N1937" i="1"/>
  <c r="M1937" i="1"/>
  <c r="O1936" i="1" a="1"/>
  <c r="N1936" i="1"/>
  <c r="M1936" i="1"/>
  <c r="O1935" i="1" a="1"/>
  <c r="N1935" i="1"/>
  <c r="M1935" i="1"/>
  <c r="O1934" i="1" a="1"/>
  <c r="N1934" i="1"/>
  <c r="M1934" i="1"/>
  <c r="O1933" i="1" a="1"/>
  <c r="N1933" i="1"/>
  <c r="M1933" i="1"/>
  <c r="O1932" i="1" a="1"/>
  <c r="N1932" i="1"/>
  <c r="M1932" i="1"/>
  <c r="O1931" i="1" a="1"/>
  <c r="N1931" i="1"/>
  <c r="M1931" i="1"/>
  <c r="O1930" i="1" a="1"/>
  <c r="N1930" i="1"/>
  <c r="M1930" i="1"/>
  <c r="O1929" i="1" a="1"/>
  <c r="N1929" i="1"/>
  <c r="M1929" i="1"/>
  <c r="O1928" i="1" a="1"/>
  <c r="N1928" i="1"/>
  <c r="M1928" i="1"/>
  <c r="O1927" i="1" a="1"/>
  <c r="N1927" i="1"/>
  <c r="M1927" i="1"/>
  <c r="O1926" i="1" a="1"/>
  <c r="N1926" i="1"/>
  <c r="M1926" i="1"/>
  <c r="O1925" i="1" a="1"/>
  <c r="N1925" i="1"/>
  <c r="M1925" i="1"/>
  <c r="O1924" i="1" a="1"/>
  <c r="N1924" i="1"/>
  <c r="M1924" i="1"/>
  <c r="O1923" i="1" a="1"/>
  <c r="N1923" i="1"/>
  <c r="M1923" i="1"/>
  <c r="O1922" i="1" a="1"/>
  <c r="N1922" i="1"/>
  <c r="M1922" i="1"/>
  <c r="O1921" i="1" a="1"/>
  <c r="N1921" i="1"/>
  <c r="M1921" i="1"/>
  <c r="O1920" i="1" a="1"/>
  <c r="N1920" i="1"/>
  <c r="M1920" i="1"/>
  <c r="O1919" i="1" a="1"/>
  <c r="N1919" i="1"/>
  <c r="M1919" i="1"/>
  <c r="O1918" i="1" a="1"/>
  <c r="N1918" i="1"/>
  <c r="M1918" i="1"/>
  <c r="O1917" i="1" a="1"/>
  <c r="N1917" i="1"/>
  <c r="M1917" i="1"/>
  <c r="O1916" i="1" a="1"/>
  <c r="N1916" i="1"/>
  <c r="M1916" i="1"/>
  <c r="O1915" i="1" a="1"/>
  <c r="N1915" i="1"/>
  <c r="M1915" i="1"/>
  <c r="O1914" i="1" a="1"/>
  <c r="N1914" i="1"/>
  <c r="M1914" i="1"/>
  <c r="O1913" i="1" a="1"/>
  <c r="N1913" i="1"/>
  <c r="M1913" i="1"/>
  <c r="O1912" i="1" a="1"/>
  <c r="N1912" i="1"/>
  <c r="M1912" i="1"/>
  <c r="O1911" i="1" a="1"/>
  <c r="N1911" i="1"/>
  <c r="M1911" i="1"/>
  <c r="O1910" i="1" a="1"/>
  <c r="N1910" i="1"/>
  <c r="M1910" i="1"/>
  <c r="O1909" i="1" a="1"/>
  <c r="N1909" i="1"/>
  <c r="M1909" i="1"/>
  <c r="O1908" i="1" a="1"/>
  <c r="N1908" i="1"/>
  <c r="M1908" i="1"/>
  <c r="O1907" i="1" a="1"/>
  <c r="N1907" i="1"/>
  <c r="M1907" i="1"/>
  <c r="O1906" i="1" a="1"/>
  <c r="N1906" i="1"/>
  <c r="M1906" i="1"/>
  <c r="O1905" i="1" a="1"/>
  <c r="N1905" i="1"/>
  <c r="M1905" i="1"/>
  <c r="O1904" i="1" a="1"/>
  <c r="N1904" i="1"/>
  <c r="M1904" i="1"/>
  <c r="O1903" i="1" a="1"/>
  <c r="N1903" i="1"/>
  <c r="M1903" i="1"/>
  <c r="O1902" i="1" a="1"/>
  <c r="N1902" i="1"/>
  <c r="M1902" i="1"/>
  <c r="O1901" i="1" a="1"/>
  <c r="N1901" i="1"/>
  <c r="M1901" i="1"/>
  <c r="O1900" i="1" a="1"/>
  <c r="N1900" i="1"/>
  <c r="M1900" i="1"/>
  <c r="O1899" i="1" a="1"/>
  <c r="N1899" i="1"/>
  <c r="M1899" i="1"/>
  <c r="O1898" i="1" a="1"/>
  <c r="N1898" i="1"/>
  <c r="M1898" i="1"/>
  <c r="O1897" i="1" a="1"/>
  <c r="N1897" i="1"/>
  <c r="M1897" i="1"/>
  <c r="O1896" i="1" a="1"/>
  <c r="N1896" i="1"/>
  <c r="M1896" i="1"/>
  <c r="O1895" i="1" a="1"/>
  <c r="N1895" i="1"/>
  <c r="M1895" i="1"/>
  <c r="O1894" i="1" a="1"/>
  <c r="N1894" i="1"/>
  <c r="M1894" i="1"/>
  <c r="O1893" i="1" a="1"/>
  <c r="N1893" i="1"/>
  <c r="M1893" i="1"/>
  <c r="O1892" i="1" a="1"/>
  <c r="N1892" i="1"/>
  <c r="M1892" i="1"/>
  <c r="O1891" i="1" a="1"/>
  <c r="N1891" i="1"/>
  <c r="M1891" i="1"/>
  <c r="O1890" i="1" a="1"/>
  <c r="N1890" i="1"/>
  <c r="M1890" i="1"/>
  <c r="O1889" i="1" a="1"/>
  <c r="N1889" i="1"/>
  <c r="M1889" i="1"/>
  <c r="O1888" i="1" a="1"/>
  <c r="N1888" i="1"/>
  <c r="M1888" i="1"/>
  <c r="O1887" i="1" a="1"/>
  <c r="N1887" i="1"/>
  <c r="M1887" i="1"/>
  <c r="O1886" i="1" a="1"/>
  <c r="N1886" i="1"/>
  <c r="M1886" i="1"/>
  <c r="O1885" i="1" a="1"/>
  <c r="N1885" i="1"/>
  <c r="M1885" i="1"/>
  <c r="O1884" i="1" a="1"/>
  <c r="N1884" i="1"/>
  <c r="M1884" i="1"/>
  <c r="O1883" i="1" a="1"/>
  <c r="N1883" i="1"/>
  <c r="M1883" i="1"/>
  <c r="O1882" i="1" a="1"/>
  <c r="N1882" i="1"/>
  <c r="M1882" i="1"/>
  <c r="O1881" i="1" a="1"/>
  <c r="N1881" i="1"/>
  <c r="M1881" i="1"/>
  <c r="O1880" i="1" a="1"/>
  <c r="N1880" i="1"/>
  <c r="M1880" i="1"/>
  <c r="O1879" i="1" a="1"/>
  <c r="N1879" i="1"/>
  <c r="M1879" i="1"/>
  <c r="O1878" i="1" a="1"/>
  <c r="N1878" i="1"/>
  <c r="M1878" i="1"/>
  <c r="O1877" i="1" a="1"/>
  <c r="N1877" i="1"/>
  <c r="M1877" i="1"/>
  <c r="O1876" i="1" a="1"/>
  <c r="N1876" i="1"/>
  <c r="M1876" i="1"/>
  <c r="O1875" i="1" a="1"/>
  <c r="N1875" i="1"/>
  <c r="M1875" i="1"/>
  <c r="O1874" i="1" a="1"/>
  <c r="N1874" i="1"/>
  <c r="M1874" i="1"/>
  <c r="O1873" i="1" a="1"/>
  <c r="N1873" i="1"/>
  <c r="M1873" i="1"/>
  <c r="O1872" i="1" a="1"/>
  <c r="N1872" i="1"/>
  <c r="M1872" i="1"/>
  <c r="O1871" i="1" a="1"/>
  <c r="N1871" i="1"/>
  <c r="M1871" i="1"/>
  <c r="O1870" i="1" a="1"/>
  <c r="N1870" i="1"/>
  <c r="M1870" i="1"/>
  <c r="O1869" i="1" a="1"/>
  <c r="N1869" i="1"/>
  <c r="M1869" i="1"/>
  <c r="O1868" i="1" a="1"/>
  <c r="N1868" i="1"/>
  <c r="M1868" i="1"/>
  <c r="O1867" i="1" a="1"/>
  <c r="N1867" i="1"/>
  <c r="M1867" i="1"/>
  <c r="O1866" i="1" a="1"/>
  <c r="N1866" i="1"/>
  <c r="M1866" i="1"/>
  <c r="O1865" i="1" a="1"/>
  <c r="N1865" i="1"/>
  <c r="M1865" i="1"/>
  <c r="O1864" i="1" a="1"/>
  <c r="N1864" i="1"/>
  <c r="M1864" i="1"/>
  <c r="O1863" i="1" a="1"/>
  <c r="N1863" i="1"/>
  <c r="M1863" i="1"/>
  <c r="O1862" i="1" a="1"/>
  <c r="N1862" i="1"/>
  <c r="M1862" i="1"/>
  <c r="O1861" i="1" a="1"/>
  <c r="N1861" i="1"/>
  <c r="M1861" i="1"/>
  <c r="O1860" i="1" a="1"/>
  <c r="N1860" i="1"/>
  <c r="M1860" i="1"/>
  <c r="O1859" i="1" a="1"/>
  <c r="N1859" i="1"/>
  <c r="M1859" i="1"/>
  <c r="O1858" i="1" a="1"/>
  <c r="N1858" i="1"/>
  <c r="M1858" i="1"/>
  <c r="O1857" i="1" a="1"/>
  <c r="N1857" i="1"/>
  <c r="M1857" i="1"/>
  <c r="O1856" i="1" a="1"/>
  <c r="N1856" i="1"/>
  <c r="M1856" i="1"/>
  <c r="O1855" i="1" a="1"/>
  <c r="N1855" i="1"/>
  <c r="M1855" i="1"/>
  <c r="O1854" i="1" a="1"/>
  <c r="N1854" i="1"/>
  <c r="M1854" i="1"/>
  <c r="O1853" i="1" a="1"/>
  <c r="N1853" i="1"/>
  <c r="M1853" i="1"/>
  <c r="O1852" i="1" a="1"/>
  <c r="N1852" i="1"/>
  <c r="M1852" i="1"/>
  <c r="O1851" i="1" a="1"/>
  <c r="N1851" i="1"/>
  <c r="M1851" i="1"/>
  <c r="O1850" i="1" a="1"/>
  <c r="N1850" i="1"/>
  <c r="M1850" i="1"/>
  <c r="O1849" i="1" a="1"/>
  <c r="N1849" i="1"/>
  <c r="M1849" i="1"/>
  <c r="O1848" i="1" a="1"/>
  <c r="N1848" i="1"/>
  <c r="M1848" i="1"/>
  <c r="O1847" i="1" a="1"/>
  <c r="N1847" i="1"/>
  <c r="M1847" i="1"/>
  <c r="O1846" i="1" a="1"/>
  <c r="N1846" i="1"/>
  <c r="M1846" i="1"/>
  <c r="O1845" i="1" a="1"/>
  <c r="N1845" i="1"/>
  <c r="M1845" i="1"/>
  <c r="O1844" i="1" a="1"/>
  <c r="N1844" i="1"/>
  <c r="M1844" i="1"/>
  <c r="O1843" i="1" a="1"/>
  <c r="N1843" i="1"/>
  <c r="M1843" i="1"/>
  <c r="O1842" i="1" a="1"/>
  <c r="N1842" i="1"/>
  <c r="M1842" i="1"/>
  <c r="O1841" i="1" a="1"/>
  <c r="N1841" i="1"/>
  <c r="M1841" i="1"/>
  <c r="O1840" i="1" a="1"/>
  <c r="N1840" i="1"/>
  <c r="M1840" i="1"/>
  <c r="O1839" i="1" a="1"/>
  <c r="N1839" i="1"/>
  <c r="M1839" i="1"/>
  <c r="O1838" i="1" a="1"/>
  <c r="N1838" i="1"/>
  <c r="M1838" i="1"/>
  <c r="O1837" i="1" a="1"/>
  <c r="N1837" i="1"/>
  <c r="M1837" i="1"/>
  <c r="O1836" i="1" a="1"/>
  <c r="N1836" i="1"/>
  <c r="M1836" i="1"/>
  <c r="O1835" i="1" a="1"/>
  <c r="N1835" i="1"/>
  <c r="M1835" i="1"/>
  <c r="O1834" i="1" a="1"/>
  <c r="N1834" i="1"/>
  <c r="M1834" i="1"/>
  <c r="O1833" i="1" a="1"/>
  <c r="N1833" i="1"/>
  <c r="M1833" i="1"/>
  <c r="O1832" i="1" a="1"/>
  <c r="N1832" i="1"/>
  <c r="M1832" i="1"/>
  <c r="O1831" i="1" a="1"/>
  <c r="N1831" i="1"/>
  <c r="M1831" i="1"/>
  <c r="O1830" i="1" a="1"/>
  <c r="N1830" i="1"/>
  <c r="M1830" i="1"/>
  <c r="O1829" i="1" a="1"/>
  <c r="N1829" i="1"/>
  <c r="M1829" i="1"/>
  <c r="O1828" i="1" a="1"/>
  <c r="N1828" i="1"/>
  <c r="M1828" i="1"/>
  <c r="O1827" i="1" a="1"/>
  <c r="N1827" i="1"/>
  <c r="M1827" i="1"/>
  <c r="O1826" i="1" a="1"/>
  <c r="N1826" i="1"/>
  <c r="M1826" i="1"/>
  <c r="O1825" i="1" a="1"/>
  <c r="N1825" i="1"/>
  <c r="M1825" i="1"/>
  <c r="O1824" i="1" a="1"/>
  <c r="N1824" i="1"/>
  <c r="M1824" i="1"/>
  <c r="O1823" i="1" a="1"/>
  <c r="N1823" i="1"/>
  <c r="M1823" i="1"/>
  <c r="O1822" i="1" a="1"/>
  <c r="N1822" i="1"/>
  <c r="M1822" i="1"/>
  <c r="O1821" i="1" a="1"/>
  <c r="N1821" i="1"/>
  <c r="M1821" i="1"/>
  <c r="O1820" i="1" a="1"/>
  <c r="N1820" i="1"/>
  <c r="M1820" i="1"/>
  <c r="O1819" i="1" a="1"/>
  <c r="N1819" i="1"/>
  <c r="M1819" i="1"/>
  <c r="O1818" i="1" a="1"/>
  <c r="N1818" i="1"/>
  <c r="M1818" i="1"/>
  <c r="O1817" i="1" a="1"/>
  <c r="N1817" i="1"/>
  <c r="M1817" i="1"/>
  <c r="O1816" i="1" a="1"/>
  <c r="N1816" i="1"/>
  <c r="M1816" i="1"/>
  <c r="O1815" i="1" a="1"/>
  <c r="N1815" i="1"/>
  <c r="M1815" i="1"/>
  <c r="O1814" i="1" a="1"/>
  <c r="N1814" i="1"/>
  <c r="M1814" i="1"/>
  <c r="O1813" i="1" a="1"/>
  <c r="N1813" i="1"/>
  <c r="M1813" i="1"/>
  <c r="O1812" i="1" a="1"/>
  <c r="N1812" i="1"/>
  <c r="M1812" i="1"/>
  <c r="O1811" i="1" a="1"/>
  <c r="N1811" i="1"/>
  <c r="M1811" i="1"/>
  <c r="O1810" i="1" a="1"/>
  <c r="N1810" i="1"/>
  <c r="M1810" i="1"/>
  <c r="O1809" i="1" a="1"/>
  <c r="N1809" i="1"/>
  <c r="M1809" i="1"/>
  <c r="O1808" i="1" a="1"/>
  <c r="N1808" i="1"/>
  <c r="M1808" i="1"/>
  <c r="O1807" i="1" a="1"/>
  <c r="N1807" i="1"/>
  <c r="M1807" i="1"/>
  <c r="O1806" i="1" a="1"/>
  <c r="N1806" i="1"/>
  <c r="M1806" i="1"/>
  <c r="O1805" i="1" a="1"/>
  <c r="N1805" i="1"/>
  <c r="M1805" i="1"/>
  <c r="O1804" i="1" a="1"/>
  <c r="N1804" i="1"/>
  <c r="M1804" i="1"/>
  <c r="O1803" i="1" a="1"/>
  <c r="N1803" i="1"/>
  <c r="M1803" i="1"/>
  <c r="O1802" i="1" a="1"/>
  <c r="N1802" i="1"/>
  <c r="M1802" i="1"/>
  <c r="O1801" i="1" a="1"/>
  <c r="N1801" i="1"/>
  <c r="M1801" i="1"/>
  <c r="O1800" i="1" a="1"/>
  <c r="N1800" i="1"/>
  <c r="M1800" i="1"/>
  <c r="O1799" i="1" a="1"/>
  <c r="N1799" i="1"/>
  <c r="M1799" i="1"/>
  <c r="O1798" i="1" a="1"/>
  <c r="N1798" i="1"/>
  <c r="M1798" i="1"/>
  <c r="O1797" i="1" a="1"/>
  <c r="N1797" i="1"/>
  <c r="M1797" i="1"/>
  <c r="O1796" i="1" a="1"/>
  <c r="N1796" i="1"/>
  <c r="M1796" i="1"/>
  <c r="O1795" i="1" a="1"/>
  <c r="N1795" i="1"/>
  <c r="M1795" i="1"/>
  <c r="O1794" i="1" a="1"/>
  <c r="N1794" i="1"/>
  <c r="M1794" i="1"/>
  <c r="O1793" i="1" a="1"/>
  <c r="N1793" i="1"/>
  <c r="M1793" i="1"/>
  <c r="O1792" i="1" a="1"/>
  <c r="N1792" i="1"/>
  <c r="M1792" i="1"/>
  <c r="O1791" i="1" a="1"/>
  <c r="N1791" i="1"/>
  <c r="M1791" i="1"/>
  <c r="O1790" i="1" a="1"/>
  <c r="N1790" i="1"/>
  <c r="M1790" i="1"/>
  <c r="O1789" i="1" a="1"/>
  <c r="N1789" i="1"/>
  <c r="M1789" i="1"/>
  <c r="O1788" i="1" a="1"/>
  <c r="N1788" i="1"/>
  <c r="M1788" i="1"/>
  <c r="O1787" i="1" a="1"/>
  <c r="N1787" i="1"/>
  <c r="M1787" i="1"/>
  <c r="O1786" i="1" a="1"/>
  <c r="N1786" i="1"/>
  <c r="M1786" i="1"/>
  <c r="O1785" i="1" a="1"/>
  <c r="N1785" i="1"/>
  <c r="M1785" i="1"/>
  <c r="O1784" i="1" a="1"/>
  <c r="N1784" i="1"/>
  <c r="M1784" i="1"/>
  <c r="O1783" i="1" a="1"/>
  <c r="N1783" i="1"/>
  <c r="M1783" i="1"/>
  <c r="O1782" i="1" a="1"/>
  <c r="N1782" i="1"/>
  <c r="M1782" i="1"/>
  <c r="O1781" i="1" a="1"/>
  <c r="N1781" i="1"/>
  <c r="M1781" i="1"/>
  <c r="O1780" i="1" a="1"/>
  <c r="N1780" i="1"/>
  <c r="M1780" i="1"/>
  <c r="O1779" i="1" a="1"/>
  <c r="N1779" i="1"/>
  <c r="M1779" i="1"/>
  <c r="O1778" i="1" a="1"/>
  <c r="N1778" i="1"/>
  <c r="M1778" i="1"/>
  <c r="O1777" i="1" a="1"/>
  <c r="N1777" i="1"/>
  <c r="M1777" i="1"/>
  <c r="O1776" i="1" a="1"/>
  <c r="N1776" i="1"/>
  <c r="M1776" i="1"/>
  <c r="O1775" i="1" a="1"/>
  <c r="N1775" i="1"/>
  <c r="M1775" i="1"/>
  <c r="O1774" i="1" a="1"/>
  <c r="N1774" i="1"/>
  <c r="M1774" i="1"/>
  <c r="O1773" i="1" a="1"/>
  <c r="N1773" i="1"/>
  <c r="M1773" i="1"/>
  <c r="O1772" i="1" a="1"/>
  <c r="N1772" i="1"/>
  <c r="M1772" i="1"/>
  <c r="O1771" i="1" a="1"/>
  <c r="N1771" i="1"/>
  <c r="M1771" i="1"/>
  <c r="O1770" i="1" a="1"/>
  <c r="N1770" i="1"/>
  <c r="M1770" i="1"/>
  <c r="O1769" i="1" a="1"/>
  <c r="N1769" i="1"/>
  <c r="M1769" i="1"/>
  <c r="O1768" i="1" a="1"/>
  <c r="N1768" i="1"/>
  <c r="M1768" i="1"/>
  <c r="O1767" i="1" a="1"/>
  <c r="N1767" i="1"/>
  <c r="M1767" i="1"/>
  <c r="O1766" i="1" a="1"/>
  <c r="N1766" i="1"/>
  <c r="M1766" i="1"/>
  <c r="O1765" i="1" a="1"/>
  <c r="N1765" i="1"/>
  <c r="M1765" i="1"/>
  <c r="O1764" i="1" a="1"/>
  <c r="N1764" i="1"/>
  <c r="M1764" i="1"/>
  <c r="O1763" i="1" a="1"/>
  <c r="N1763" i="1"/>
  <c r="M1763" i="1"/>
  <c r="O1762" i="1" a="1"/>
  <c r="N1762" i="1"/>
  <c r="M1762" i="1"/>
  <c r="O1761" i="1" a="1"/>
  <c r="N1761" i="1"/>
  <c r="M1761" i="1"/>
  <c r="O1760" i="1" a="1"/>
  <c r="N1760" i="1"/>
  <c r="M1760" i="1"/>
  <c r="O1759" i="1" a="1"/>
  <c r="N1759" i="1"/>
  <c r="M1759" i="1"/>
  <c r="O1758" i="1" a="1"/>
  <c r="N1758" i="1"/>
  <c r="M1758" i="1"/>
  <c r="O1757" i="1" a="1"/>
  <c r="N1757" i="1"/>
  <c r="M1757" i="1"/>
  <c r="O1756" i="1" a="1"/>
  <c r="N1756" i="1"/>
  <c r="M1756" i="1"/>
  <c r="O1755" i="1" a="1"/>
  <c r="N1755" i="1"/>
  <c r="M1755" i="1"/>
  <c r="O1754" i="1" a="1"/>
  <c r="N1754" i="1"/>
  <c r="M1754" i="1"/>
  <c r="O1753" i="1" a="1"/>
  <c r="N1753" i="1"/>
  <c r="M1753" i="1"/>
  <c r="O1752" i="1" a="1"/>
  <c r="N1752" i="1"/>
  <c r="M1752" i="1"/>
  <c r="O1751" i="1" a="1"/>
  <c r="N1751" i="1"/>
  <c r="M1751" i="1"/>
  <c r="O1750" i="1" a="1"/>
  <c r="N1750" i="1"/>
  <c r="M1750" i="1"/>
  <c r="O1749" i="1" a="1"/>
  <c r="N1749" i="1"/>
  <c r="M1749" i="1"/>
  <c r="O1748" i="1" a="1"/>
  <c r="N1748" i="1"/>
  <c r="M1748" i="1"/>
  <c r="O1747" i="1" a="1"/>
  <c r="N1747" i="1"/>
  <c r="M1747" i="1"/>
  <c r="O1746" i="1" a="1"/>
  <c r="N1746" i="1"/>
  <c r="M1746" i="1"/>
  <c r="O1745" i="1" a="1"/>
  <c r="N1745" i="1"/>
  <c r="M1745" i="1"/>
  <c r="O1744" i="1" a="1"/>
  <c r="N1744" i="1"/>
  <c r="M1744" i="1"/>
  <c r="O1743" i="1" a="1"/>
  <c r="N1743" i="1"/>
  <c r="M1743" i="1"/>
  <c r="O1742" i="1" a="1"/>
  <c r="N1742" i="1"/>
  <c r="M1742" i="1"/>
  <c r="O1741" i="1" a="1"/>
  <c r="N1741" i="1"/>
  <c r="M1741" i="1"/>
  <c r="O1740" i="1" a="1"/>
  <c r="N1740" i="1"/>
  <c r="M1740" i="1"/>
  <c r="O1739" i="1" a="1"/>
  <c r="N1739" i="1"/>
  <c r="M1739" i="1"/>
  <c r="O1738" i="1" a="1"/>
  <c r="N1738" i="1"/>
  <c r="M1738" i="1"/>
  <c r="O1737" i="1" a="1"/>
  <c r="N1737" i="1"/>
  <c r="M1737" i="1"/>
  <c r="O1736" i="1" a="1"/>
  <c r="N1736" i="1"/>
  <c r="M1736" i="1"/>
  <c r="O1735" i="1" a="1"/>
  <c r="N1735" i="1"/>
  <c r="M1735" i="1"/>
  <c r="O1734" i="1" a="1"/>
  <c r="N1734" i="1"/>
  <c r="M1734" i="1"/>
  <c r="O1733" i="1" a="1"/>
  <c r="N1733" i="1"/>
  <c r="M1733" i="1"/>
  <c r="O1732" i="1" a="1"/>
  <c r="N1732" i="1"/>
  <c r="M1732" i="1"/>
  <c r="O1731" i="1" a="1"/>
  <c r="N1731" i="1"/>
  <c r="M1731" i="1"/>
  <c r="O1730" i="1" a="1"/>
  <c r="N1730" i="1"/>
  <c r="M1730" i="1"/>
  <c r="O1729" i="1" a="1"/>
  <c r="N1729" i="1"/>
  <c r="M1729" i="1"/>
  <c r="O1728" i="1" a="1"/>
  <c r="N1728" i="1"/>
  <c r="M1728" i="1"/>
  <c r="O1727" i="1" a="1"/>
  <c r="N1727" i="1"/>
  <c r="M1727" i="1"/>
  <c r="O1726" i="1" a="1"/>
  <c r="N1726" i="1"/>
  <c r="M1726" i="1"/>
  <c r="O1725" i="1" a="1"/>
  <c r="N1725" i="1"/>
  <c r="M1725" i="1"/>
  <c r="O1724" i="1" a="1"/>
  <c r="N1724" i="1"/>
  <c r="M1724" i="1"/>
  <c r="O1723" i="1" a="1"/>
  <c r="N1723" i="1"/>
  <c r="M1723" i="1"/>
  <c r="O1722" i="1" a="1"/>
  <c r="N1722" i="1"/>
  <c r="M1722" i="1"/>
  <c r="O1721" i="1" a="1"/>
  <c r="N1721" i="1"/>
  <c r="M1721" i="1"/>
  <c r="O1720" i="1" a="1"/>
  <c r="N1720" i="1"/>
  <c r="M1720" i="1"/>
  <c r="O1719" i="1" a="1"/>
  <c r="N1719" i="1"/>
  <c r="M1719" i="1"/>
  <c r="O1718" i="1" a="1"/>
  <c r="N1718" i="1"/>
  <c r="M1718" i="1"/>
  <c r="O1717" i="1" a="1"/>
  <c r="N1717" i="1"/>
  <c r="M1717" i="1"/>
  <c r="O1716" i="1" a="1"/>
  <c r="N1716" i="1"/>
  <c r="M1716" i="1"/>
  <c r="O1715" i="1" a="1"/>
  <c r="N1715" i="1"/>
  <c r="M1715" i="1"/>
  <c r="O1714" i="1" a="1"/>
  <c r="N1714" i="1"/>
  <c r="M1714" i="1"/>
  <c r="O1713" i="1" a="1"/>
  <c r="N1713" i="1"/>
  <c r="M1713" i="1"/>
  <c r="O1712" i="1" a="1"/>
  <c r="N1712" i="1"/>
  <c r="M1712" i="1"/>
  <c r="O1711" i="1" a="1"/>
  <c r="N1711" i="1"/>
  <c r="M1711" i="1"/>
  <c r="O1710" i="1" a="1"/>
  <c r="N1710" i="1"/>
  <c r="M1710" i="1"/>
  <c r="O1709" i="1" a="1"/>
  <c r="N1709" i="1"/>
  <c r="M1709" i="1"/>
  <c r="O1708" i="1" a="1"/>
  <c r="N1708" i="1"/>
  <c r="M1708" i="1"/>
  <c r="O1707" i="1" a="1"/>
  <c r="N1707" i="1"/>
  <c r="M1707" i="1"/>
  <c r="O1706" i="1" a="1"/>
  <c r="N1706" i="1"/>
  <c r="M1706" i="1"/>
  <c r="O1705" i="1" a="1"/>
  <c r="N1705" i="1"/>
  <c r="M1705" i="1"/>
  <c r="O1704" i="1" a="1"/>
  <c r="N1704" i="1"/>
  <c r="M1704" i="1"/>
  <c r="O1703" i="1" a="1"/>
  <c r="N1703" i="1"/>
  <c r="M1703" i="1"/>
  <c r="O1702" i="1" a="1"/>
  <c r="N1702" i="1"/>
  <c r="M1702" i="1"/>
  <c r="O1701" i="1" a="1"/>
  <c r="N1701" i="1"/>
  <c r="M1701" i="1"/>
  <c r="O1700" i="1" a="1"/>
  <c r="N1700" i="1"/>
  <c r="M1700" i="1"/>
  <c r="O1699" i="1" a="1"/>
  <c r="N1699" i="1"/>
  <c r="M1699" i="1"/>
  <c r="O1698" i="1" a="1"/>
  <c r="N1698" i="1"/>
  <c r="M1698" i="1"/>
  <c r="O1697" i="1" a="1"/>
  <c r="N1697" i="1"/>
  <c r="M1697" i="1"/>
  <c r="O1696" i="1" a="1"/>
  <c r="N1696" i="1"/>
  <c r="M1696" i="1"/>
  <c r="O1695" i="1" a="1"/>
  <c r="N1695" i="1"/>
  <c r="M1695" i="1"/>
  <c r="O1694" i="1" a="1"/>
  <c r="N1694" i="1"/>
  <c r="M1694" i="1"/>
  <c r="O1693" i="1" a="1"/>
  <c r="N1693" i="1"/>
  <c r="M1693" i="1"/>
  <c r="O1692" i="1" a="1"/>
  <c r="N1692" i="1"/>
  <c r="M1692" i="1"/>
  <c r="O1691" i="1" a="1"/>
  <c r="N1691" i="1"/>
  <c r="M1691" i="1"/>
  <c r="O1690" i="1" a="1"/>
  <c r="N1690" i="1"/>
  <c r="M1690" i="1"/>
  <c r="O1689" i="1" a="1"/>
  <c r="N1689" i="1"/>
  <c r="M1689" i="1"/>
  <c r="O1688" i="1" a="1"/>
  <c r="N1688" i="1"/>
  <c r="M1688" i="1"/>
  <c r="O1687" i="1" a="1"/>
  <c r="N1687" i="1"/>
  <c r="M1687" i="1"/>
  <c r="O1686" i="1" a="1"/>
  <c r="N1686" i="1"/>
  <c r="M1686" i="1"/>
  <c r="O1685" i="1" a="1"/>
  <c r="N1685" i="1"/>
  <c r="M1685" i="1"/>
  <c r="O1684" i="1" a="1"/>
  <c r="N1684" i="1"/>
  <c r="M1684" i="1"/>
  <c r="O1683" i="1" a="1"/>
  <c r="N1683" i="1"/>
  <c r="M1683" i="1"/>
  <c r="O1682" i="1" a="1"/>
  <c r="N1682" i="1"/>
  <c r="M1682" i="1"/>
  <c r="O1681" i="1" a="1"/>
  <c r="N1681" i="1"/>
  <c r="M1681" i="1"/>
  <c r="O1680" i="1" a="1"/>
  <c r="N1680" i="1"/>
  <c r="M1680" i="1"/>
  <c r="O1679" i="1" a="1"/>
  <c r="N1679" i="1"/>
  <c r="M1679" i="1"/>
  <c r="O1678" i="1" a="1"/>
  <c r="N1678" i="1"/>
  <c r="M1678" i="1"/>
  <c r="O1677" i="1" a="1"/>
  <c r="N1677" i="1"/>
  <c r="M1677" i="1"/>
  <c r="O1676" i="1" a="1"/>
  <c r="N1676" i="1"/>
  <c r="M1676" i="1"/>
  <c r="O1675" i="1" a="1"/>
  <c r="N1675" i="1"/>
  <c r="M1675" i="1"/>
  <c r="O1674" i="1" a="1"/>
  <c r="N1674" i="1"/>
  <c r="M1674" i="1"/>
  <c r="O1673" i="1" a="1"/>
  <c r="N1673" i="1"/>
  <c r="M1673" i="1"/>
  <c r="O1672" i="1" a="1"/>
  <c r="N1672" i="1"/>
  <c r="M1672" i="1"/>
  <c r="O1671" i="1" a="1"/>
  <c r="N1671" i="1"/>
  <c r="M1671" i="1"/>
  <c r="O1670" i="1" a="1"/>
  <c r="N1670" i="1"/>
  <c r="M1670" i="1"/>
  <c r="O1669" i="1" a="1"/>
  <c r="N1669" i="1"/>
  <c r="M1669" i="1"/>
  <c r="O1668" i="1" a="1"/>
  <c r="N1668" i="1"/>
  <c r="M1668" i="1"/>
  <c r="O1667" i="1" a="1"/>
  <c r="N1667" i="1"/>
  <c r="M1667" i="1"/>
  <c r="O1666" i="1" a="1"/>
  <c r="N1666" i="1"/>
  <c r="M1666" i="1"/>
  <c r="O1665" i="1" a="1"/>
  <c r="N1665" i="1"/>
  <c r="M1665" i="1"/>
  <c r="O1664" i="1" a="1"/>
  <c r="N1664" i="1"/>
  <c r="M1664" i="1"/>
  <c r="O1663" i="1" a="1"/>
  <c r="N1663" i="1"/>
  <c r="M1663" i="1"/>
  <c r="O1662" i="1" a="1"/>
  <c r="N1662" i="1"/>
  <c r="M1662" i="1"/>
  <c r="O1661" i="1" a="1"/>
  <c r="N1661" i="1"/>
  <c r="M1661" i="1"/>
  <c r="O1660" i="1" a="1"/>
  <c r="N1660" i="1"/>
  <c r="M1660" i="1"/>
  <c r="O1659" i="1" a="1"/>
  <c r="N1659" i="1"/>
  <c r="M1659" i="1"/>
  <c r="O1658" i="1" a="1"/>
  <c r="N1658" i="1"/>
  <c r="M1658" i="1"/>
  <c r="O1657" i="1" a="1"/>
  <c r="N1657" i="1"/>
  <c r="M1657" i="1"/>
  <c r="O1656" i="1" a="1"/>
  <c r="N1656" i="1"/>
  <c r="M1656" i="1"/>
  <c r="O1655" i="1" a="1"/>
  <c r="N1655" i="1"/>
  <c r="M1655" i="1"/>
  <c r="O1654" i="1" a="1"/>
  <c r="N1654" i="1"/>
  <c r="M1654" i="1"/>
  <c r="O1653" i="1" a="1"/>
  <c r="N1653" i="1"/>
  <c r="M1653" i="1"/>
  <c r="O1652" i="1" a="1"/>
  <c r="N1652" i="1"/>
  <c r="M1652" i="1"/>
  <c r="O1651" i="1" a="1"/>
  <c r="N1651" i="1"/>
  <c r="M1651" i="1"/>
  <c r="O1650" i="1" a="1"/>
  <c r="N1650" i="1"/>
  <c r="M1650" i="1"/>
  <c r="O1649" i="1" a="1"/>
  <c r="N1649" i="1"/>
  <c r="M1649" i="1"/>
  <c r="O1648" i="1" a="1"/>
  <c r="N1648" i="1"/>
  <c r="M1648" i="1"/>
  <c r="O1647" i="1" a="1"/>
  <c r="N1647" i="1"/>
  <c r="M1647" i="1"/>
  <c r="O1646" i="1" a="1"/>
  <c r="N1646" i="1"/>
  <c r="M1646" i="1"/>
  <c r="O1645" i="1" a="1"/>
  <c r="N1645" i="1"/>
  <c r="M1645" i="1"/>
  <c r="O1644" i="1" a="1"/>
  <c r="N1644" i="1"/>
  <c r="M1644" i="1"/>
  <c r="O1643" i="1" a="1"/>
  <c r="N1643" i="1"/>
  <c r="M1643" i="1"/>
  <c r="O1642" i="1" a="1"/>
  <c r="N1642" i="1"/>
  <c r="M1642" i="1"/>
  <c r="O1641" i="1" a="1"/>
  <c r="N1641" i="1"/>
  <c r="M1641" i="1"/>
  <c r="O1640" i="1" a="1"/>
  <c r="N1640" i="1"/>
  <c r="M1640" i="1"/>
  <c r="O1639" i="1" a="1"/>
  <c r="N1639" i="1"/>
  <c r="M1639" i="1"/>
  <c r="O1638" i="1" a="1"/>
  <c r="N1638" i="1"/>
  <c r="M1638" i="1"/>
  <c r="O1637" i="1" a="1"/>
  <c r="N1637" i="1"/>
  <c r="M1637" i="1"/>
  <c r="O1636" i="1" a="1"/>
  <c r="N1636" i="1"/>
  <c r="M1636" i="1"/>
  <c r="O1635" i="1" a="1"/>
  <c r="N1635" i="1"/>
  <c r="M1635" i="1"/>
  <c r="O1634" i="1" a="1"/>
  <c r="N1634" i="1"/>
  <c r="M1634" i="1"/>
  <c r="O1633" i="1" a="1"/>
  <c r="N1633" i="1"/>
  <c r="M1633" i="1"/>
  <c r="O1632" i="1" a="1"/>
  <c r="N1632" i="1"/>
  <c r="M1632" i="1"/>
  <c r="O1631" i="1" a="1"/>
  <c r="N1631" i="1"/>
  <c r="M1631" i="1"/>
  <c r="O1630" i="1" a="1"/>
  <c r="N1630" i="1"/>
  <c r="M1630" i="1"/>
  <c r="O1629" i="1" a="1"/>
  <c r="N1629" i="1"/>
  <c r="M1629" i="1"/>
  <c r="O1628" i="1" a="1"/>
  <c r="N1628" i="1"/>
  <c r="M1628" i="1"/>
  <c r="O1627" i="1" a="1"/>
  <c r="N1627" i="1"/>
  <c r="M1627" i="1"/>
  <c r="O1626" i="1" a="1"/>
  <c r="N1626" i="1"/>
  <c r="M1626" i="1"/>
  <c r="O1625" i="1" a="1"/>
  <c r="N1625" i="1"/>
  <c r="M1625" i="1"/>
  <c r="O1624" i="1" a="1"/>
  <c r="N1624" i="1"/>
  <c r="M1624" i="1"/>
  <c r="O1623" i="1" a="1"/>
  <c r="N1623" i="1"/>
  <c r="M1623" i="1"/>
  <c r="O1622" i="1" a="1"/>
  <c r="N1622" i="1"/>
  <c r="M1622" i="1"/>
  <c r="O1621" i="1" a="1"/>
  <c r="N1621" i="1"/>
  <c r="M1621" i="1"/>
  <c r="O1620" i="1" a="1"/>
  <c r="N1620" i="1"/>
  <c r="M1620" i="1"/>
  <c r="O1619" i="1" a="1"/>
  <c r="N1619" i="1"/>
  <c r="M1619" i="1"/>
  <c r="O1618" i="1" a="1"/>
  <c r="N1618" i="1"/>
  <c r="M1618" i="1"/>
  <c r="O1617" i="1" a="1"/>
  <c r="N1617" i="1"/>
  <c r="M1617" i="1"/>
  <c r="O1616" i="1" a="1"/>
  <c r="N1616" i="1"/>
  <c r="M1616" i="1"/>
  <c r="O1615" i="1" a="1"/>
  <c r="N1615" i="1"/>
  <c r="M1615" i="1"/>
  <c r="O1614" i="1" a="1"/>
  <c r="N1614" i="1"/>
  <c r="M1614" i="1"/>
  <c r="O1613" i="1" a="1"/>
  <c r="N1613" i="1"/>
  <c r="M1613" i="1"/>
  <c r="O1612" i="1" a="1"/>
  <c r="N1612" i="1"/>
  <c r="M1612" i="1"/>
  <c r="O1611" i="1" a="1"/>
  <c r="N1611" i="1"/>
  <c r="M1611" i="1"/>
  <c r="O1610" i="1" a="1"/>
  <c r="N1610" i="1"/>
  <c r="M1610" i="1"/>
  <c r="O1609" i="1" a="1"/>
  <c r="N1609" i="1"/>
  <c r="M1609" i="1"/>
  <c r="O1608" i="1" a="1"/>
  <c r="N1608" i="1"/>
  <c r="M1608" i="1"/>
  <c r="O1607" i="1" a="1"/>
  <c r="N1607" i="1"/>
  <c r="M1607" i="1"/>
  <c r="O1606" i="1" a="1"/>
  <c r="N1606" i="1"/>
  <c r="M1606" i="1"/>
  <c r="O1605" i="1" a="1"/>
  <c r="N1605" i="1"/>
  <c r="M1605" i="1"/>
  <c r="O1604" i="1" a="1"/>
  <c r="N1604" i="1"/>
  <c r="M1604" i="1"/>
  <c r="O1603" i="1" a="1"/>
  <c r="N1603" i="1"/>
  <c r="M1603" i="1"/>
  <c r="O1602" i="1" a="1"/>
  <c r="N1602" i="1"/>
  <c r="M1602" i="1"/>
  <c r="O1601" i="1" a="1"/>
  <c r="N1601" i="1"/>
  <c r="M1601" i="1"/>
  <c r="O1600" i="1" a="1"/>
  <c r="N1600" i="1"/>
  <c r="M1600" i="1"/>
  <c r="O1599" i="1" a="1"/>
  <c r="N1599" i="1"/>
  <c r="M1599" i="1"/>
  <c r="O1598" i="1" a="1"/>
  <c r="N1598" i="1"/>
  <c r="M1598" i="1"/>
  <c r="O1597" i="1" a="1"/>
  <c r="N1597" i="1"/>
  <c r="M1597" i="1"/>
  <c r="O1596" i="1" a="1"/>
  <c r="N1596" i="1"/>
  <c r="M1596" i="1"/>
  <c r="O1595" i="1" a="1"/>
  <c r="N1595" i="1"/>
  <c r="M1595" i="1"/>
  <c r="O1594" i="1" a="1"/>
  <c r="N1594" i="1"/>
  <c r="M1594" i="1"/>
  <c r="O1593" i="1" a="1"/>
  <c r="N1593" i="1"/>
  <c r="M1593" i="1"/>
  <c r="O1592" i="1" a="1"/>
  <c r="N1592" i="1"/>
  <c r="M1592" i="1"/>
  <c r="O1591" i="1" a="1"/>
  <c r="N1591" i="1"/>
  <c r="M1591" i="1"/>
  <c r="O1590" i="1" a="1"/>
  <c r="N1590" i="1"/>
  <c r="M1590" i="1"/>
  <c r="O1589" i="1" a="1"/>
  <c r="N1589" i="1"/>
  <c r="M1589" i="1"/>
  <c r="O1588" i="1" a="1"/>
  <c r="N1588" i="1"/>
  <c r="M1588" i="1"/>
  <c r="O1587" i="1" a="1"/>
  <c r="N1587" i="1"/>
  <c r="M1587" i="1"/>
  <c r="O1586" i="1" a="1"/>
  <c r="N1586" i="1"/>
  <c r="M1586" i="1"/>
  <c r="O1585" i="1" a="1"/>
  <c r="N1585" i="1"/>
  <c r="M1585" i="1"/>
  <c r="O1584" i="1" a="1"/>
  <c r="N1584" i="1"/>
  <c r="M1584" i="1"/>
  <c r="O1583" i="1" a="1"/>
  <c r="N1583" i="1"/>
  <c r="M1583" i="1"/>
  <c r="O1582" i="1" a="1"/>
  <c r="N1582" i="1"/>
  <c r="M1582" i="1"/>
  <c r="O1581" i="1" a="1"/>
  <c r="N1581" i="1"/>
  <c r="M1581" i="1"/>
  <c r="O1580" i="1" a="1"/>
  <c r="N1580" i="1"/>
  <c r="M1580" i="1"/>
  <c r="O1579" i="1" a="1"/>
  <c r="N1579" i="1"/>
  <c r="M1579" i="1"/>
  <c r="O1578" i="1" a="1"/>
  <c r="N1578" i="1"/>
  <c r="M1578" i="1"/>
  <c r="O1577" i="1" a="1"/>
  <c r="N1577" i="1"/>
  <c r="M1577" i="1"/>
  <c r="O1576" i="1" a="1"/>
  <c r="N1576" i="1"/>
  <c r="M1576" i="1"/>
  <c r="O1575" i="1" a="1"/>
  <c r="N1575" i="1"/>
  <c r="M1575" i="1"/>
  <c r="O1574" i="1" a="1"/>
  <c r="N1574" i="1"/>
  <c r="M1574" i="1"/>
  <c r="O1573" i="1" a="1"/>
  <c r="N1573" i="1"/>
  <c r="M1573" i="1"/>
  <c r="O1572" i="1" a="1"/>
  <c r="N1572" i="1"/>
  <c r="M1572" i="1"/>
  <c r="O1571" i="1" a="1"/>
  <c r="N1571" i="1"/>
  <c r="M1571" i="1"/>
  <c r="O1570" i="1" a="1"/>
  <c r="N1570" i="1"/>
  <c r="M1570" i="1"/>
  <c r="O1569" i="1" a="1"/>
  <c r="N1569" i="1"/>
  <c r="M1569" i="1"/>
  <c r="O1568" i="1" a="1"/>
  <c r="N1568" i="1"/>
  <c r="M1568" i="1"/>
  <c r="O1567" i="1" a="1"/>
  <c r="N1567" i="1"/>
  <c r="M1567" i="1"/>
  <c r="O1566" i="1" a="1"/>
  <c r="N1566" i="1"/>
  <c r="M1566" i="1"/>
  <c r="O1565" i="1" a="1"/>
  <c r="N1565" i="1"/>
  <c r="M1565" i="1"/>
  <c r="O1564" i="1" a="1"/>
  <c r="N1564" i="1"/>
  <c r="M1564" i="1"/>
  <c r="O1563" i="1" a="1"/>
  <c r="N1563" i="1"/>
  <c r="M1563" i="1"/>
  <c r="O1562" i="1" a="1"/>
  <c r="N1562" i="1"/>
  <c r="M1562" i="1"/>
  <c r="O1561" i="1" a="1"/>
  <c r="N1561" i="1"/>
  <c r="M1561" i="1"/>
  <c r="O1560" i="1" a="1"/>
  <c r="N1560" i="1"/>
  <c r="M1560" i="1"/>
  <c r="O1559" i="1" a="1"/>
  <c r="N1559" i="1"/>
  <c r="M1559" i="1"/>
  <c r="O1558" i="1" a="1"/>
  <c r="N1558" i="1"/>
  <c r="M1558" i="1"/>
  <c r="O1557" i="1" a="1"/>
  <c r="N1557" i="1"/>
  <c r="M1557" i="1"/>
  <c r="O1556" i="1" a="1"/>
  <c r="N1556" i="1"/>
  <c r="M1556" i="1"/>
  <c r="O1555" i="1" a="1"/>
  <c r="N1555" i="1"/>
  <c r="M1555" i="1"/>
  <c r="O1554" i="1" a="1"/>
  <c r="N1554" i="1"/>
  <c r="M1554" i="1"/>
  <c r="O1553" i="1" a="1"/>
  <c r="N1553" i="1"/>
  <c r="M1553" i="1"/>
  <c r="O1552" i="1" a="1"/>
  <c r="N1552" i="1"/>
  <c r="M1552" i="1"/>
  <c r="O1551" i="1" a="1"/>
  <c r="N1551" i="1"/>
  <c r="M1551" i="1"/>
  <c r="O1550" i="1" a="1"/>
  <c r="N1550" i="1"/>
  <c r="M1550" i="1"/>
  <c r="O1549" i="1" a="1"/>
  <c r="N1549" i="1"/>
  <c r="M1549" i="1"/>
  <c r="O1548" i="1" a="1"/>
  <c r="N1548" i="1"/>
  <c r="M1548" i="1"/>
  <c r="O1547" i="1" a="1"/>
  <c r="N1547" i="1"/>
  <c r="M1547" i="1"/>
  <c r="O1546" i="1" a="1"/>
  <c r="N1546" i="1"/>
  <c r="M1546" i="1"/>
  <c r="O1545" i="1" a="1"/>
  <c r="N1545" i="1"/>
  <c r="M1545" i="1"/>
  <c r="O1544" i="1" a="1"/>
  <c r="N1544" i="1"/>
  <c r="M1544" i="1"/>
  <c r="O1543" i="1" a="1"/>
  <c r="N1543" i="1"/>
  <c r="M1543" i="1"/>
  <c r="O1542" i="1" a="1"/>
  <c r="N1542" i="1"/>
  <c r="M1542" i="1"/>
  <c r="O1541" i="1" a="1"/>
  <c r="N1541" i="1"/>
  <c r="M1541" i="1"/>
  <c r="O1540" i="1" a="1"/>
  <c r="N1540" i="1"/>
  <c r="M1540" i="1"/>
  <c r="O1539" i="1" a="1"/>
  <c r="N1539" i="1"/>
  <c r="M1539" i="1"/>
  <c r="O1538" i="1" a="1"/>
  <c r="N1538" i="1"/>
  <c r="M1538" i="1"/>
  <c r="O1537" i="1" a="1"/>
  <c r="N1537" i="1"/>
  <c r="M1537" i="1"/>
  <c r="O1536" i="1" a="1"/>
  <c r="N1536" i="1"/>
  <c r="M1536" i="1"/>
  <c r="O1535" i="1" a="1"/>
  <c r="N1535" i="1"/>
  <c r="M1535" i="1"/>
  <c r="O1534" i="1" a="1"/>
  <c r="N1534" i="1"/>
  <c r="M1534" i="1"/>
  <c r="O1533" i="1" a="1"/>
  <c r="N1533" i="1"/>
  <c r="M1533" i="1"/>
  <c r="O1532" i="1" a="1"/>
  <c r="N1532" i="1"/>
  <c r="M1532" i="1"/>
  <c r="O1531" i="1" a="1"/>
  <c r="N1531" i="1"/>
  <c r="M1531" i="1"/>
  <c r="O1530" i="1" a="1"/>
  <c r="N1530" i="1"/>
  <c r="M1530" i="1"/>
  <c r="O1529" i="1" a="1"/>
  <c r="N1529" i="1"/>
  <c r="M1529" i="1"/>
  <c r="O1528" i="1" a="1"/>
  <c r="N1528" i="1"/>
  <c r="M1528" i="1"/>
  <c r="O1527" i="1" a="1"/>
  <c r="N1527" i="1"/>
  <c r="M1527" i="1"/>
  <c r="O1526" i="1" a="1"/>
  <c r="N1526" i="1"/>
  <c r="M1526" i="1"/>
  <c r="O1525" i="1" a="1"/>
  <c r="N1525" i="1"/>
  <c r="M1525" i="1"/>
  <c r="O1524" i="1" a="1"/>
  <c r="N1524" i="1"/>
  <c r="M1524" i="1"/>
  <c r="O1523" i="1" a="1"/>
  <c r="N1523" i="1"/>
  <c r="M1523" i="1"/>
  <c r="O1522" i="1" a="1"/>
  <c r="N1522" i="1"/>
  <c r="M1522" i="1"/>
  <c r="O1521" i="1" a="1"/>
  <c r="N1521" i="1"/>
  <c r="M1521" i="1"/>
  <c r="O1520" i="1" a="1"/>
  <c r="N1520" i="1"/>
  <c r="M1520" i="1"/>
  <c r="O1519" i="1" a="1"/>
  <c r="N1519" i="1"/>
  <c r="M1519" i="1"/>
  <c r="O1518" i="1" a="1"/>
  <c r="N1518" i="1"/>
  <c r="M1518" i="1"/>
  <c r="O1517" i="1" a="1"/>
  <c r="N1517" i="1"/>
  <c r="M1517" i="1"/>
  <c r="O1516" i="1" a="1"/>
  <c r="N1516" i="1"/>
  <c r="M1516" i="1"/>
  <c r="O1515" i="1" a="1"/>
  <c r="N1515" i="1"/>
  <c r="M1515" i="1"/>
  <c r="O1514" i="1" a="1"/>
  <c r="N1514" i="1"/>
  <c r="M1514" i="1"/>
  <c r="O1513" i="1" a="1"/>
  <c r="N1513" i="1"/>
  <c r="M1513" i="1"/>
  <c r="O1512" i="1" a="1"/>
  <c r="N1512" i="1"/>
  <c r="M1512" i="1"/>
  <c r="O1511" i="1" a="1"/>
  <c r="N1511" i="1"/>
  <c r="M1511" i="1"/>
  <c r="O1510" i="1" a="1"/>
  <c r="N1510" i="1"/>
  <c r="M1510" i="1"/>
  <c r="O1509" i="1" a="1"/>
  <c r="N1509" i="1"/>
  <c r="M1509" i="1"/>
  <c r="O1508" i="1" a="1"/>
  <c r="N1508" i="1"/>
  <c r="M1508" i="1"/>
  <c r="O1507" i="1" a="1"/>
  <c r="N1507" i="1"/>
  <c r="M1507" i="1"/>
  <c r="O1506" i="1" a="1"/>
  <c r="N1506" i="1"/>
  <c r="M1506" i="1"/>
  <c r="O1505" i="1" a="1"/>
  <c r="N1505" i="1"/>
  <c r="M1505" i="1"/>
  <c r="O1504" i="1" a="1"/>
  <c r="N1504" i="1"/>
  <c r="M1504" i="1"/>
  <c r="O1503" i="1" a="1"/>
  <c r="N1503" i="1"/>
  <c r="M1503" i="1"/>
  <c r="O1502" i="1" a="1"/>
  <c r="N1502" i="1"/>
  <c r="M1502" i="1"/>
  <c r="O1501" i="1" a="1"/>
  <c r="N1501" i="1"/>
  <c r="M1501" i="1"/>
  <c r="O1500" i="1" a="1"/>
  <c r="N1500" i="1"/>
  <c r="M1500" i="1"/>
  <c r="O1499" i="1" a="1"/>
  <c r="N1499" i="1"/>
  <c r="M1499" i="1"/>
  <c r="O1498" i="1" a="1"/>
  <c r="N1498" i="1"/>
  <c r="M1498" i="1"/>
  <c r="O1497" i="1" a="1"/>
  <c r="N1497" i="1"/>
  <c r="M1497" i="1"/>
  <c r="O1496" i="1" a="1"/>
  <c r="N1496" i="1"/>
  <c r="M1496" i="1"/>
  <c r="O1495" i="1" a="1"/>
  <c r="N1495" i="1"/>
  <c r="M1495" i="1"/>
  <c r="O1494" i="1" a="1"/>
  <c r="N1494" i="1"/>
  <c r="M1494" i="1"/>
  <c r="O1493" i="1" a="1"/>
  <c r="N1493" i="1"/>
  <c r="M1493" i="1"/>
  <c r="O1492" i="1" a="1"/>
  <c r="N1492" i="1"/>
  <c r="M1492" i="1"/>
  <c r="O1491" i="1" a="1"/>
  <c r="N1491" i="1"/>
  <c r="M1491" i="1"/>
  <c r="O1490" i="1" a="1"/>
  <c r="N1490" i="1"/>
  <c r="M1490" i="1"/>
  <c r="O1489" i="1" a="1"/>
  <c r="N1489" i="1"/>
  <c r="M1489" i="1"/>
  <c r="O1488" i="1" a="1"/>
  <c r="N1488" i="1"/>
  <c r="M1488" i="1"/>
  <c r="O1487" i="1" a="1"/>
  <c r="N1487" i="1"/>
  <c r="M1487" i="1"/>
  <c r="O1486" i="1" a="1"/>
  <c r="N1486" i="1"/>
  <c r="M1486" i="1"/>
  <c r="O1485" i="1" a="1"/>
  <c r="N1485" i="1"/>
  <c r="M1485" i="1"/>
  <c r="O1484" i="1" a="1"/>
  <c r="N1484" i="1"/>
  <c r="M1484" i="1"/>
  <c r="O1483" i="1" a="1"/>
  <c r="N1483" i="1"/>
  <c r="M1483" i="1"/>
  <c r="O1482" i="1" a="1"/>
  <c r="N1482" i="1"/>
  <c r="M1482" i="1"/>
  <c r="O1481" i="1" a="1"/>
  <c r="N1481" i="1"/>
  <c r="M1481" i="1"/>
  <c r="O1480" i="1" a="1"/>
  <c r="N1480" i="1"/>
  <c r="M1480" i="1"/>
  <c r="O1479" i="1" a="1"/>
  <c r="N1479" i="1"/>
  <c r="M1479" i="1"/>
  <c r="O1478" i="1" a="1"/>
  <c r="N1478" i="1"/>
  <c r="M1478" i="1"/>
  <c r="O1477" i="1" a="1"/>
  <c r="N1477" i="1"/>
  <c r="M1477" i="1"/>
  <c r="O1476" i="1" a="1"/>
  <c r="N1476" i="1"/>
  <c r="M1476" i="1"/>
  <c r="O1475" i="1" a="1"/>
  <c r="N1475" i="1"/>
  <c r="M1475" i="1"/>
  <c r="O1474" i="1" a="1"/>
  <c r="N1474" i="1"/>
  <c r="M1474" i="1"/>
  <c r="O1473" i="1" a="1"/>
  <c r="N1473" i="1"/>
  <c r="M1473" i="1"/>
  <c r="O1472" i="1" a="1"/>
  <c r="N1472" i="1"/>
  <c r="M1472" i="1"/>
  <c r="O1471" i="1" a="1"/>
  <c r="N1471" i="1"/>
  <c r="M1471" i="1"/>
  <c r="O1470" i="1" a="1"/>
  <c r="N1470" i="1"/>
  <c r="M1470" i="1"/>
  <c r="O1469" i="1" a="1"/>
  <c r="N1469" i="1"/>
  <c r="M1469" i="1"/>
  <c r="O1468" i="1" a="1"/>
  <c r="N1468" i="1"/>
  <c r="M1468" i="1"/>
  <c r="O1467" i="1" a="1"/>
  <c r="N1467" i="1"/>
  <c r="M1467" i="1"/>
  <c r="O1466" i="1" a="1"/>
  <c r="N1466" i="1"/>
  <c r="M1466" i="1"/>
  <c r="O1465" i="1" a="1"/>
  <c r="N1465" i="1"/>
  <c r="M1465" i="1"/>
  <c r="O1464" i="1" a="1"/>
  <c r="N1464" i="1"/>
  <c r="M1464" i="1"/>
  <c r="O1463" i="1" a="1"/>
  <c r="N1463" i="1"/>
  <c r="M1463" i="1"/>
  <c r="O1462" i="1" a="1"/>
  <c r="N1462" i="1"/>
  <c r="M1462" i="1"/>
  <c r="O1461" i="1" a="1"/>
  <c r="N1461" i="1"/>
  <c r="M1461" i="1"/>
  <c r="O1460" i="1" a="1"/>
  <c r="N1460" i="1"/>
  <c r="M1460" i="1"/>
  <c r="O1459" i="1" a="1"/>
  <c r="N1459" i="1"/>
  <c r="M1459" i="1"/>
  <c r="O1458" i="1" a="1"/>
  <c r="N1458" i="1"/>
  <c r="M1458" i="1"/>
  <c r="O1457" i="1" a="1"/>
  <c r="N1457" i="1"/>
  <c r="M1457" i="1"/>
  <c r="O1456" i="1" a="1"/>
  <c r="N1456" i="1"/>
  <c r="M1456" i="1"/>
  <c r="O1455" i="1" a="1"/>
  <c r="N1455" i="1"/>
  <c r="M1455" i="1"/>
  <c r="O1454" i="1" a="1"/>
  <c r="N1454" i="1"/>
  <c r="M1454" i="1"/>
  <c r="O1453" i="1" a="1"/>
  <c r="N1453" i="1"/>
  <c r="M1453" i="1"/>
  <c r="O1452" i="1" a="1"/>
  <c r="N1452" i="1"/>
  <c r="M1452" i="1"/>
  <c r="O1451" i="1" a="1"/>
  <c r="N1451" i="1"/>
  <c r="M1451" i="1"/>
  <c r="O1450" i="1" a="1"/>
  <c r="N1450" i="1"/>
  <c r="M1450" i="1"/>
  <c r="O1449" i="1" a="1"/>
  <c r="N1449" i="1"/>
  <c r="M1449" i="1"/>
  <c r="O1448" i="1" a="1"/>
  <c r="N1448" i="1"/>
  <c r="M1448" i="1"/>
  <c r="O1447" i="1" a="1"/>
  <c r="N1447" i="1"/>
  <c r="M1447" i="1"/>
  <c r="O1446" i="1" a="1"/>
  <c r="N1446" i="1"/>
  <c r="M1446" i="1"/>
  <c r="O1445" i="1" a="1"/>
  <c r="N1445" i="1"/>
  <c r="M1445" i="1"/>
  <c r="O1444" i="1" a="1"/>
  <c r="N1444" i="1"/>
  <c r="M1444" i="1"/>
  <c r="O1443" i="1" a="1"/>
  <c r="N1443" i="1"/>
  <c r="M1443" i="1"/>
  <c r="O1442" i="1" a="1"/>
  <c r="N1442" i="1"/>
  <c r="M1442" i="1"/>
  <c r="O1441" i="1" a="1"/>
  <c r="N1441" i="1"/>
  <c r="M1441" i="1"/>
  <c r="O1440" i="1" a="1"/>
  <c r="N1440" i="1"/>
  <c r="M1440" i="1"/>
  <c r="O1439" i="1" a="1"/>
  <c r="N1439" i="1"/>
  <c r="M1439" i="1"/>
  <c r="O1438" i="1" a="1"/>
  <c r="N1438" i="1"/>
  <c r="M1438" i="1"/>
  <c r="O1437" i="1" a="1"/>
  <c r="N1437" i="1"/>
  <c r="M1437" i="1"/>
  <c r="O1436" i="1" a="1"/>
  <c r="N1436" i="1"/>
  <c r="M1436" i="1"/>
  <c r="O1435" i="1" a="1"/>
  <c r="N1435" i="1"/>
  <c r="M1435" i="1"/>
  <c r="O1434" i="1" a="1"/>
  <c r="N1434" i="1"/>
  <c r="M1434" i="1"/>
  <c r="O1433" i="1" a="1"/>
  <c r="N1433" i="1"/>
  <c r="M1433" i="1"/>
  <c r="O1432" i="1" a="1"/>
  <c r="N1432" i="1"/>
  <c r="M1432" i="1"/>
  <c r="O1431" i="1" a="1"/>
  <c r="N1431" i="1"/>
  <c r="M1431" i="1"/>
  <c r="O1430" i="1" a="1"/>
  <c r="N1430" i="1"/>
  <c r="M1430" i="1"/>
  <c r="O1429" i="1" a="1"/>
  <c r="N1429" i="1"/>
  <c r="M1429" i="1"/>
  <c r="O1428" i="1" a="1"/>
  <c r="N1428" i="1"/>
  <c r="M1428" i="1"/>
  <c r="O1427" i="1" a="1"/>
  <c r="N1427" i="1"/>
  <c r="M1427" i="1"/>
  <c r="O1426" i="1" a="1"/>
  <c r="N1426" i="1"/>
  <c r="M1426" i="1"/>
  <c r="O1425" i="1" a="1"/>
  <c r="N1425" i="1"/>
  <c r="M1425" i="1"/>
  <c r="O1424" i="1" a="1"/>
  <c r="N1424" i="1"/>
  <c r="M1424" i="1"/>
  <c r="O1423" i="1" a="1"/>
  <c r="N1423" i="1"/>
  <c r="M1423" i="1"/>
  <c r="O1422" i="1" a="1"/>
  <c r="N1422" i="1"/>
  <c r="M1422" i="1"/>
  <c r="O1421" i="1" a="1"/>
  <c r="N1421" i="1"/>
  <c r="M1421" i="1"/>
  <c r="O1420" i="1" a="1"/>
  <c r="N1420" i="1"/>
  <c r="M1420" i="1"/>
  <c r="O1419" i="1" a="1"/>
  <c r="N1419" i="1"/>
  <c r="M1419" i="1"/>
  <c r="O1418" i="1" a="1"/>
  <c r="N1418" i="1"/>
  <c r="M1418" i="1"/>
  <c r="O1417" i="1" a="1"/>
  <c r="N1417" i="1"/>
  <c r="M1417" i="1"/>
  <c r="O1416" i="1" a="1"/>
  <c r="N1416" i="1"/>
  <c r="M1416" i="1"/>
  <c r="O1415" i="1" a="1"/>
  <c r="N1415" i="1"/>
  <c r="M1415" i="1"/>
  <c r="O1414" i="1" a="1"/>
  <c r="N1414" i="1"/>
  <c r="M1414" i="1"/>
  <c r="O1413" i="1" a="1"/>
  <c r="N1413" i="1"/>
  <c r="M1413" i="1"/>
  <c r="O1412" i="1" a="1"/>
  <c r="N1412" i="1"/>
  <c r="M1412" i="1"/>
  <c r="O1411" i="1" a="1"/>
  <c r="N1411" i="1"/>
  <c r="M1411" i="1"/>
  <c r="O1410" i="1" a="1"/>
  <c r="N1410" i="1"/>
  <c r="M1410" i="1"/>
  <c r="O1409" i="1" a="1"/>
  <c r="N1409" i="1"/>
  <c r="M1409" i="1"/>
  <c r="O1408" i="1" a="1"/>
  <c r="N1408" i="1"/>
  <c r="M1408" i="1"/>
  <c r="O1407" i="1" a="1"/>
  <c r="N1407" i="1"/>
  <c r="M1407" i="1"/>
  <c r="O1406" i="1" a="1"/>
  <c r="N1406" i="1"/>
  <c r="M1406" i="1"/>
  <c r="O1405" i="1" a="1"/>
  <c r="N1405" i="1"/>
  <c r="M1405" i="1"/>
  <c r="O1404" i="1" a="1"/>
  <c r="N1404" i="1"/>
  <c r="M1404" i="1"/>
  <c r="O1403" i="1" a="1"/>
  <c r="N1403" i="1"/>
  <c r="M1403" i="1"/>
  <c r="O1402" i="1" a="1"/>
  <c r="N1402" i="1"/>
  <c r="M1402" i="1"/>
  <c r="O1401" i="1" a="1"/>
  <c r="N1401" i="1"/>
  <c r="M1401" i="1"/>
  <c r="O1400" i="1" a="1"/>
  <c r="N1400" i="1"/>
  <c r="M1400" i="1"/>
  <c r="O1399" i="1" a="1"/>
  <c r="N1399" i="1"/>
  <c r="M1399" i="1"/>
  <c r="O1398" i="1" a="1"/>
  <c r="N1398" i="1"/>
  <c r="M1398" i="1"/>
  <c r="O1397" i="1" a="1"/>
  <c r="N1397" i="1"/>
  <c r="M1397" i="1"/>
  <c r="O1396" i="1" a="1"/>
  <c r="N1396" i="1"/>
  <c r="M1396" i="1"/>
  <c r="O1395" i="1" a="1"/>
  <c r="N1395" i="1"/>
  <c r="M1395" i="1"/>
  <c r="O1394" i="1" a="1"/>
  <c r="N1394" i="1"/>
  <c r="M1394" i="1"/>
  <c r="O1393" i="1" a="1"/>
  <c r="N1393" i="1"/>
  <c r="M1393" i="1"/>
  <c r="O1392" i="1" a="1"/>
  <c r="N1392" i="1"/>
  <c r="M1392" i="1"/>
  <c r="O1391" i="1" a="1"/>
  <c r="N1391" i="1"/>
  <c r="M1391" i="1"/>
  <c r="O1390" i="1" a="1"/>
  <c r="N1390" i="1"/>
  <c r="M1390" i="1"/>
  <c r="O1389" i="1" a="1"/>
  <c r="N1389" i="1"/>
  <c r="M1389" i="1"/>
  <c r="O1388" i="1" a="1"/>
  <c r="N1388" i="1"/>
  <c r="M1388" i="1"/>
  <c r="O1387" i="1" a="1"/>
  <c r="N1387" i="1"/>
  <c r="M1387" i="1"/>
  <c r="O1386" i="1" a="1"/>
  <c r="N1386" i="1"/>
  <c r="M1386" i="1"/>
  <c r="O1385" i="1" a="1"/>
  <c r="N1385" i="1"/>
  <c r="M1385" i="1"/>
  <c r="O1384" i="1" a="1"/>
  <c r="N1384" i="1"/>
  <c r="M1384" i="1"/>
  <c r="O1383" i="1" a="1"/>
  <c r="N1383" i="1"/>
  <c r="M1383" i="1"/>
  <c r="O1382" i="1" a="1"/>
  <c r="N1382" i="1"/>
  <c r="M1382" i="1"/>
  <c r="O1381" i="1" a="1"/>
  <c r="N1381" i="1"/>
  <c r="M1381" i="1"/>
  <c r="O1380" i="1" a="1"/>
  <c r="N1380" i="1"/>
  <c r="M1380" i="1"/>
  <c r="O1379" i="1" a="1"/>
  <c r="N1379" i="1"/>
  <c r="M1379" i="1"/>
  <c r="O1378" i="1" a="1"/>
  <c r="N1378" i="1"/>
  <c r="M1378" i="1"/>
  <c r="O1377" i="1" a="1"/>
  <c r="N1377" i="1"/>
  <c r="M1377" i="1"/>
  <c r="O1376" i="1" a="1"/>
  <c r="N1376" i="1"/>
  <c r="M1376" i="1"/>
  <c r="O1375" i="1" a="1"/>
  <c r="N1375" i="1"/>
  <c r="M1375" i="1"/>
  <c r="O1374" i="1" a="1"/>
  <c r="N1374" i="1"/>
  <c r="M1374" i="1"/>
  <c r="O1373" i="1" a="1"/>
  <c r="N1373" i="1"/>
  <c r="M1373" i="1"/>
  <c r="O1372" i="1" a="1"/>
  <c r="N1372" i="1"/>
  <c r="M1372" i="1"/>
  <c r="O1371" i="1" a="1"/>
  <c r="N1371" i="1"/>
  <c r="M1371" i="1"/>
  <c r="O1370" i="1" a="1"/>
  <c r="N1370" i="1"/>
  <c r="M1370" i="1"/>
  <c r="O1369" i="1" a="1"/>
  <c r="N1369" i="1"/>
  <c r="M1369" i="1"/>
  <c r="O1368" i="1" a="1"/>
  <c r="N1368" i="1"/>
  <c r="M1368" i="1"/>
  <c r="O1367" i="1" a="1"/>
  <c r="N1367" i="1"/>
  <c r="M1367" i="1"/>
  <c r="O1366" i="1" a="1"/>
  <c r="N1366" i="1"/>
  <c r="M1366" i="1"/>
  <c r="O1365" i="1" a="1"/>
  <c r="N1365" i="1"/>
  <c r="M1365" i="1"/>
  <c r="O1364" i="1" a="1"/>
  <c r="N1364" i="1"/>
  <c r="M1364" i="1"/>
  <c r="O1363" i="1" a="1"/>
  <c r="N1363" i="1"/>
  <c r="M1363" i="1"/>
  <c r="O1362" i="1" a="1"/>
  <c r="N1362" i="1"/>
  <c r="M1362" i="1"/>
  <c r="O1361" i="1" a="1"/>
  <c r="N1361" i="1"/>
  <c r="M1361" i="1"/>
  <c r="O1360" i="1" a="1"/>
  <c r="N1360" i="1"/>
  <c r="M1360" i="1"/>
  <c r="O1359" i="1" a="1"/>
  <c r="N1359" i="1"/>
  <c r="M1359" i="1"/>
  <c r="O1358" i="1" a="1"/>
  <c r="N1358" i="1"/>
  <c r="M1358" i="1"/>
  <c r="O1357" i="1" a="1"/>
  <c r="N1357" i="1"/>
  <c r="M1357" i="1"/>
  <c r="O1356" i="1" a="1"/>
  <c r="N1356" i="1"/>
  <c r="M1356" i="1"/>
  <c r="O1355" i="1" a="1"/>
  <c r="N1355" i="1"/>
  <c r="M1355" i="1"/>
  <c r="O1354" i="1" a="1"/>
  <c r="N1354" i="1"/>
  <c r="M1354" i="1"/>
  <c r="O1353" i="1" a="1"/>
  <c r="N1353" i="1"/>
  <c r="M1353" i="1"/>
  <c r="O1352" i="1" a="1"/>
  <c r="N1352" i="1"/>
  <c r="M1352" i="1"/>
  <c r="O1351" i="1" a="1"/>
  <c r="N1351" i="1"/>
  <c r="M1351" i="1"/>
  <c r="O1350" i="1" a="1"/>
  <c r="N1350" i="1"/>
  <c r="M1350" i="1"/>
  <c r="O1349" i="1" a="1"/>
  <c r="N1349" i="1"/>
  <c r="M1349" i="1"/>
  <c r="O1348" i="1" a="1"/>
  <c r="N1348" i="1"/>
  <c r="M1348" i="1"/>
  <c r="O1347" i="1" a="1"/>
  <c r="N1347" i="1"/>
  <c r="M1347" i="1"/>
  <c r="O1346" i="1" a="1"/>
  <c r="N1346" i="1"/>
  <c r="M1346" i="1"/>
  <c r="O1345" i="1" a="1"/>
  <c r="N1345" i="1"/>
  <c r="M1345" i="1"/>
  <c r="O1344" i="1" a="1"/>
  <c r="N1344" i="1"/>
  <c r="M1344" i="1"/>
  <c r="O1343" i="1" a="1"/>
  <c r="N1343" i="1"/>
  <c r="M1343" i="1"/>
  <c r="O1342" i="1" a="1"/>
  <c r="N1342" i="1"/>
  <c r="M1342" i="1"/>
  <c r="O1341" i="1" a="1"/>
  <c r="N1341" i="1"/>
  <c r="M1341" i="1"/>
  <c r="O1340" i="1" a="1"/>
  <c r="N1340" i="1"/>
  <c r="M1340" i="1"/>
  <c r="O1339" i="1" a="1"/>
  <c r="N1339" i="1"/>
  <c r="M1339" i="1"/>
  <c r="O1338" i="1" a="1"/>
  <c r="N1338" i="1"/>
  <c r="M1338" i="1"/>
  <c r="O1337" i="1" a="1"/>
  <c r="N1337" i="1"/>
  <c r="M1337" i="1"/>
  <c r="O1336" i="1" a="1"/>
  <c r="N1336" i="1"/>
  <c r="M1336" i="1"/>
  <c r="O1335" i="1" a="1"/>
  <c r="N1335" i="1"/>
  <c r="M1335" i="1"/>
  <c r="O1334" i="1" a="1"/>
  <c r="N1334" i="1"/>
  <c r="M1334" i="1"/>
  <c r="O1333" i="1" a="1"/>
  <c r="N1333" i="1"/>
  <c r="M1333" i="1"/>
  <c r="O1332" i="1" a="1"/>
  <c r="N1332" i="1"/>
  <c r="M1332" i="1"/>
  <c r="O1331" i="1" a="1"/>
  <c r="N1331" i="1"/>
  <c r="M1331" i="1"/>
  <c r="O1330" i="1" a="1"/>
  <c r="N1330" i="1"/>
  <c r="M1330" i="1"/>
  <c r="O1329" i="1" a="1"/>
  <c r="N1329" i="1"/>
  <c r="M1329" i="1"/>
  <c r="O1328" i="1" a="1"/>
  <c r="N1328" i="1"/>
  <c r="M1328" i="1"/>
  <c r="O1327" i="1" a="1"/>
  <c r="N1327" i="1"/>
  <c r="M1327" i="1"/>
  <c r="O1326" i="1" a="1"/>
  <c r="N1326" i="1"/>
  <c r="M1326" i="1"/>
  <c r="O1325" i="1" a="1"/>
  <c r="N1325" i="1"/>
  <c r="M1325" i="1"/>
  <c r="O1324" i="1" a="1"/>
  <c r="N1324" i="1"/>
  <c r="M1324" i="1"/>
  <c r="O1323" i="1" a="1"/>
  <c r="N1323" i="1"/>
  <c r="M1323" i="1"/>
  <c r="O1322" i="1" a="1"/>
  <c r="N1322" i="1"/>
  <c r="M1322" i="1"/>
  <c r="O1321" i="1" a="1"/>
  <c r="N1321" i="1"/>
  <c r="M1321" i="1"/>
  <c r="O1320" i="1" a="1"/>
  <c r="N1320" i="1"/>
  <c r="M1320" i="1"/>
  <c r="O1319" i="1" a="1"/>
  <c r="N1319" i="1"/>
  <c r="M1319" i="1"/>
  <c r="O1318" i="1" a="1"/>
  <c r="N1318" i="1"/>
  <c r="M1318" i="1"/>
  <c r="O1317" i="1" a="1"/>
  <c r="N1317" i="1"/>
  <c r="M1317" i="1"/>
  <c r="O1316" i="1" a="1"/>
  <c r="N1316" i="1"/>
  <c r="M1316" i="1"/>
  <c r="O1315" i="1" a="1"/>
  <c r="N1315" i="1"/>
  <c r="M1315" i="1"/>
  <c r="O1314" i="1" a="1"/>
  <c r="N1314" i="1"/>
  <c r="M1314" i="1"/>
  <c r="O1313" i="1" a="1"/>
  <c r="N1313" i="1"/>
  <c r="M1313" i="1"/>
  <c r="O1312" i="1" a="1"/>
  <c r="N1312" i="1"/>
  <c r="M1312" i="1"/>
  <c r="O1311" i="1" a="1"/>
  <c r="N1311" i="1"/>
  <c r="M1311" i="1"/>
  <c r="O1310" i="1" a="1"/>
  <c r="N1310" i="1"/>
  <c r="M1310" i="1"/>
  <c r="O1309" i="1" a="1"/>
  <c r="N1309" i="1"/>
  <c r="M1309" i="1"/>
  <c r="O1308" i="1" a="1"/>
  <c r="N1308" i="1"/>
  <c r="M1308" i="1"/>
  <c r="O1307" i="1" a="1"/>
  <c r="N1307" i="1"/>
  <c r="M1307" i="1"/>
  <c r="O1306" i="1" a="1"/>
  <c r="N1306" i="1"/>
  <c r="M1306" i="1"/>
  <c r="O1305" i="1" a="1"/>
  <c r="N1305" i="1"/>
  <c r="M1305" i="1"/>
  <c r="O1304" i="1" a="1"/>
  <c r="N1304" i="1"/>
  <c r="M1304" i="1"/>
  <c r="O1303" i="1" a="1"/>
  <c r="N1303" i="1"/>
  <c r="M1303" i="1"/>
  <c r="O1302" i="1" a="1"/>
  <c r="N1302" i="1"/>
  <c r="M1302" i="1"/>
  <c r="O1301" i="1" a="1"/>
  <c r="N1301" i="1"/>
  <c r="M1301" i="1"/>
  <c r="O1300" i="1" a="1"/>
  <c r="N1300" i="1"/>
  <c r="M1300" i="1"/>
  <c r="O1299" i="1" a="1"/>
  <c r="N1299" i="1"/>
  <c r="M1299" i="1"/>
  <c r="O1298" i="1" a="1"/>
  <c r="N1298" i="1"/>
  <c r="M1298" i="1"/>
  <c r="O1297" i="1" a="1"/>
  <c r="N1297" i="1"/>
  <c r="M1297" i="1"/>
  <c r="O1296" i="1" a="1"/>
  <c r="N1296" i="1"/>
  <c r="M1296" i="1"/>
  <c r="O1295" i="1" a="1"/>
  <c r="N1295" i="1"/>
  <c r="M1295" i="1"/>
  <c r="O1294" i="1" a="1"/>
  <c r="N1294" i="1"/>
  <c r="M1294" i="1"/>
  <c r="O1293" i="1" a="1"/>
  <c r="N1293" i="1"/>
  <c r="M1293" i="1"/>
  <c r="O1292" i="1" a="1"/>
  <c r="N1292" i="1"/>
  <c r="M1292" i="1"/>
  <c r="O1291" i="1" a="1"/>
  <c r="N1291" i="1"/>
  <c r="M1291" i="1"/>
  <c r="O1290" i="1" a="1"/>
  <c r="N1290" i="1"/>
  <c r="M1290" i="1"/>
  <c r="O1289" i="1" a="1"/>
  <c r="N1289" i="1"/>
  <c r="M1289" i="1"/>
  <c r="O1288" i="1" a="1"/>
  <c r="N1288" i="1"/>
  <c r="M1288" i="1"/>
  <c r="O1287" i="1" a="1"/>
  <c r="N1287" i="1"/>
  <c r="M1287" i="1"/>
  <c r="O1286" i="1" a="1"/>
  <c r="N1286" i="1"/>
  <c r="M1286" i="1"/>
  <c r="O1285" i="1" a="1"/>
  <c r="N1285" i="1"/>
  <c r="M1285" i="1"/>
  <c r="O1284" i="1" a="1"/>
  <c r="N1284" i="1"/>
  <c r="M1284" i="1"/>
  <c r="O1283" i="1" a="1"/>
  <c r="N1283" i="1"/>
  <c r="M1283" i="1"/>
  <c r="O1282" i="1" a="1"/>
  <c r="N1282" i="1"/>
  <c r="M1282" i="1"/>
  <c r="O1281" i="1" a="1"/>
  <c r="N1281" i="1"/>
  <c r="M1281" i="1"/>
  <c r="O1280" i="1" a="1"/>
  <c r="N1280" i="1"/>
  <c r="M1280" i="1"/>
  <c r="O1279" i="1" a="1"/>
  <c r="N1279" i="1"/>
  <c r="M1279" i="1"/>
  <c r="O1278" i="1" a="1"/>
  <c r="N1278" i="1"/>
  <c r="M1278" i="1"/>
  <c r="O1277" i="1" a="1"/>
  <c r="N1277" i="1"/>
  <c r="M1277" i="1"/>
  <c r="O1276" i="1" a="1"/>
  <c r="N1276" i="1"/>
  <c r="M1276" i="1"/>
  <c r="O1275" i="1" a="1"/>
  <c r="N1275" i="1"/>
  <c r="M1275" i="1"/>
  <c r="O1274" i="1" a="1"/>
  <c r="N1274" i="1"/>
  <c r="M1274" i="1"/>
  <c r="O1273" i="1" a="1"/>
  <c r="N1273" i="1"/>
  <c r="M1273" i="1"/>
  <c r="O1272" i="1" a="1"/>
  <c r="N1272" i="1"/>
  <c r="M1272" i="1"/>
  <c r="O1271" i="1" a="1"/>
  <c r="N1271" i="1"/>
  <c r="M1271" i="1"/>
  <c r="O1270" i="1" a="1"/>
  <c r="N1270" i="1"/>
  <c r="M1270" i="1"/>
  <c r="O1269" i="1" a="1"/>
  <c r="N1269" i="1"/>
  <c r="M1269" i="1"/>
  <c r="O1268" i="1" a="1"/>
  <c r="N1268" i="1"/>
  <c r="M1268" i="1"/>
  <c r="O1267" i="1" a="1"/>
  <c r="N1267" i="1"/>
  <c r="M1267" i="1"/>
  <c r="O1266" i="1" a="1"/>
  <c r="N1266" i="1"/>
  <c r="M1266" i="1"/>
  <c r="O1265" i="1" a="1"/>
  <c r="N1265" i="1"/>
  <c r="M1265" i="1"/>
  <c r="O1264" i="1" a="1"/>
  <c r="N1264" i="1"/>
  <c r="M1264" i="1"/>
  <c r="O1263" i="1" a="1"/>
  <c r="N1263" i="1"/>
  <c r="M1263" i="1"/>
  <c r="O1262" i="1" a="1"/>
  <c r="N1262" i="1"/>
  <c r="M1262" i="1"/>
  <c r="O1261" i="1" a="1"/>
  <c r="N1261" i="1"/>
  <c r="M1261" i="1"/>
  <c r="O1260" i="1" a="1"/>
  <c r="N1260" i="1"/>
  <c r="M1260" i="1"/>
  <c r="O1259" i="1" a="1"/>
  <c r="N1259" i="1"/>
  <c r="M1259" i="1"/>
  <c r="O1258" i="1" a="1"/>
  <c r="N1258" i="1"/>
  <c r="M1258" i="1"/>
  <c r="O1257" i="1" a="1"/>
  <c r="N1257" i="1"/>
  <c r="M1257" i="1"/>
  <c r="O1256" i="1" a="1"/>
  <c r="N1256" i="1"/>
  <c r="M1256" i="1"/>
  <c r="O1255" i="1" a="1"/>
  <c r="N1255" i="1"/>
  <c r="M1255" i="1"/>
  <c r="O1254" i="1" a="1"/>
  <c r="N1254" i="1"/>
  <c r="M1254" i="1"/>
  <c r="O1253" i="1" a="1"/>
  <c r="N1253" i="1"/>
  <c r="M1253" i="1"/>
  <c r="O1252" i="1" a="1"/>
  <c r="N1252" i="1"/>
  <c r="M1252" i="1"/>
  <c r="O1251" i="1" a="1"/>
  <c r="N1251" i="1"/>
  <c r="M1251" i="1"/>
  <c r="O1250" i="1" a="1"/>
  <c r="N1250" i="1"/>
  <c r="M1250" i="1"/>
  <c r="O1249" i="1" a="1"/>
  <c r="N1249" i="1"/>
  <c r="M1249" i="1"/>
  <c r="O1248" i="1" a="1"/>
  <c r="N1248" i="1"/>
  <c r="M1248" i="1"/>
  <c r="O1247" i="1" a="1"/>
  <c r="N1247" i="1"/>
  <c r="M1247" i="1"/>
  <c r="O1246" i="1" a="1"/>
  <c r="N1246" i="1"/>
  <c r="M1246" i="1"/>
  <c r="O1245" i="1" a="1"/>
  <c r="N1245" i="1"/>
  <c r="M1245" i="1"/>
  <c r="O1244" i="1" a="1"/>
  <c r="N1244" i="1"/>
  <c r="M1244" i="1"/>
  <c r="O1243" i="1" a="1"/>
  <c r="N1243" i="1"/>
  <c r="M1243" i="1"/>
  <c r="O1242" i="1" a="1"/>
  <c r="N1242" i="1"/>
  <c r="M1242" i="1"/>
  <c r="O1241" i="1" a="1"/>
  <c r="N1241" i="1"/>
  <c r="M1241" i="1"/>
  <c r="O1240" i="1" a="1"/>
  <c r="N1240" i="1"/>
  <c r="M1240" i="1"/>
  <c r="O1239" i="1" a="1"/>
  <c r="N1239" i="1"/>
  <c r="M1239" i="1"/>
  <c r="O1238" i="1" a="1"/>
  <c r="N1238" i="1"/>
  <c r="M1238" i="1"/>
  <c r="O1237" i="1" a="1"/>
  <c r="N1237" i="1"/>
  <c r="M1237" i="1"/>
  <c r="O1236" i="1" a="1"/>
  <c r="N1236" i="1"/>
  <c r="M1236" i="1"/>
  <c r="O1235" i="1" a="1"/>
  <c r="N1235" i="1"/>
  <c r="M1235" i="1"/>
  <c r="O1234" i="1" a="1"/>
  <c r="N1234" i="1"/>
  <c r="M1234" i="1"/>
  <c r="O1233" i="1" a="1"/>
  <c r="N1233" i="1"/>
  <c r="M1233" i="1"/>
  <c r="O1232" i="1" a="1"/>
  <c r="N1232" i="1"/>
  <c r="M1232" i="1"/>
  <c r="O1231" i="1" a="1"/>
  <c r="N1231" i="1"/>
  <c r="M1231" i="1"/>
  <c r="O1230" i="1" a="1"/>
  <c r="N1230" i="1"/>
  <c r="M1230" i="1"/>
  <c r="O1229" i="1" a="1"/>
  <c r="N1229" i="1"/>
  <c r="M1229" i="1"/>
  <c r="O1228" i="1" a="1"/>
  <c r="N1228" i="1"/>
  <c r="M1228" i="1"/>
  <c r="O1227" i="1" a="1"/>
  <c r="N1227" i="1"/>
  <c r="M1227" i="1"/>
  <c r="O1226" i="1" a="1"/>
  <c r="N1226" i="1"/>
  <c r="M1226" i="1"/>
  <c r="O1225" i="1" a="1"/>
  <c r="N1225" i="1"/>
  <c r="M1225" i="1"/>
  <c r="O1224" i="1" a="1"/>
  <c r="N1224" i="1"/>
  <c r="M1224" i="1"/>
  <c r="O1223" i="1" a="1"/>
  <c r="N1223" i="1"/>
  <c r="M1223" i="1"/>
  <c r="O1222" i="1" a="1"/>
  <c r="N1222" i="1"/>
  <c r="M1222" i="1"/>
  <c r="O1221" i="1" a="1"/>
  <c r="N1221" i="1"/>
  <c r="M1221" i="1"/>
  <c r="O1220" i="1" a="1"/>
  <c r="N1220" i="1"/>
  <c r="M1220" i="1"/>
  <c r="O1219" i="1" a="1"/>
  <c r="N1219" i="1"/>
  <c r="M1219" i="1"/>
  <c r="O1218" i="1" a="1"/>
  <c r="N1218" i="1"/>
  <c r="M1218" i="1"/>
  <c r="O1217" i="1" a="1"/>
  <c r="N1217" i="1"/>
  <c r="M1217" i="1"/>
  <c r="O1216" i="1" a="1"/>
  <c r="N1216" i="1"/>
  <c r="M1216" i="1"/>
  <c r="O1215" i="1" a="1"/>
  <c r="N1215" i="1"/>
  <c r="M1215" i="1"/>
  <c r="O1214" i="1" a="1"/>
  <c r="N1214" i="1"/>
  <c r="M1214" i="1"/>
  <c r="O1213" i="1" a="1"/>
  <c r="N1213" i="1"/>
  <c r="M1213" i="1"/>
  <c r="O1212" i="1" a="1"/>
  <c r="N1212" i="1"/>
  <c r="M1212" i="1"/>
  <c r="O1211" i="1" a="1"/>
  <c r="N1211" i="1"/>
  <c r="M1211" i="1"/>
  <c r="O1210" i="1" a="1"/>
  <c r="N1210" i="1"/>
  <c r="M1210" i="1"/>
  <c r="O1209" i="1" a="1"/>
  <c r="N1209" i="1"/>
  <c r="M1209" i="1"/>
  <c r="O1208" i="1" a="1"/>
  <c r="N1208" i="1"/>
  <c r="M1208" i="1"/>
  <c r="O1207" i="1" a="1"/>
  <c r="N1207" i="1"/>
  <c r="M1207" i="1"/>
  <c r="O1206" i="1" a="1"/>
  <c r="N1206" i="1"/>
  <c r="M1206" i="1"/>
  <c r="O1205" i="1" a="1"/>
  <c r="N1205" i="1"/>
  <c r="M1205" i="1"/>
  <c r="O1204" i="1" a="1"/>
  <c r="N1204" i="1"/>
  <c r="M1204" i="1"/>
  <c r="O1203" i="1" a="1"/>
  <c r="N1203" i="1"/>
  <c r="M1203" i="1"/>
  <c r="O1202" i="1" a="1"/>
  <c r="N1202" i="1"/>
  <c r="M1202" i="1"/>
  <c r="O1201" i="1" a="1"/>
  <c r="N1201" i="1"/>
  <c r="M1201" i="1"/>
  <c r="O1200" i="1" a="1"/>
  <c r="N1200" i="1"/>
  <c r="M1200" i="1"/>
  <c r="O1199" i="1" a="1"/>
  <c r="N1199" i="1"/>
  <c r="M1199" i="1"/>
  <c r="O1198" i="1" a="1"/>
  <c r="N1198" i="1"/>
  <c r="M1198" i="1"/>
  <c r="O1197" i="1" a="1"/>
  <c r="N1197" i="1"/>
  <c r="M1197" i="1"/>
  <c r="O1196" i="1" a="1"/>
  <c r="N1196" i="1"/>
  <c r="M1196" i="1"/>
  <c r="O1195" i="1" a="1"/>
  <c r="N1195" i="1"/>
  <c r="M1195" i="1"/>
  <c r="O1194" i="1" a="1"/>
  <c r="N1194" i="1"/>
  <c r="M1194" i="1"/>
  <c r="O1193" i="1" a="1"/>
  <c r="N1193" i="1"/>
  <c r="M1193" i="1"/>
  <c r="O1192" i="1" a="1"/>
  <c r="N1192" i="1"/>
  <c r="M1192" i="1"/>
  <c r="O1191" i="1" a="1"/>
  <c r="N1191" i="1"/>
  <c r="M1191" i="1"/>
  <c r="O1190" i="1" a="1"/>
  <c r="N1190" i="1"/>
  <c r="M1190" i="1"/>
  <c r="O1189" i="1" a="1"/>
  <c r="N1189" i="1"/>
  <c r="M1189" i="1"/>
  <c r="O1188" i="1" a="1"/>
  <c r="N1188" i="1"/>
  <c r="M1188" i="1"/>
  <c r="O1187" i="1" a="1"/>
  <c r="N1187" i="1"/>
  <c r="M1187" i="1"/>
  <c r="O1186" i="1" a="1"/>
  <c r="N1186" i="1"/>
  <c r="M1186" i="1"/>
  <c r="O1185" i="1" a="1"/>
  <c r="N1185" i="1"/>
  <c r="M1185" i="1"/>
  <c r="O1184" i="1" a="1"/>
  <c r="N1184" i="1"/>
  <c r="M1184" i="1"/>
  <c r="O1183" i="1" a="1"/>
  <c r="N1183" i="1"/>
  <c r="M1183" i="1"/>
  <c r="O1182" i="1" a="1"/>
  <c r="N1182" i="1"/>
  <c r="M1182" i="1"/>
  <c r="O1181" i="1" a="1"/>
  <c r="N1181" i="1"/>
  <c r="M1181" i="1"/>
  <c r="O1180" i="1" a="1"/>
  <c r="N1180" i="1"/>
  <c r="M1180" i="1"/>
  <c r="O1179" i="1" a="1"/>
  <c r="N1179" i="1"/>
  <c r="M1179" i="1"/>
  <c r="O1178" i="1" a="1"/>
  <c r="N1178" i="1"/>
  <c r="M1178" i="1"/>
  <c r="O1177" i="1" a="1"/>
  <c r="N1177" i="1"/>
  <c r="M1177" i="1"/>
  <c r="O1176" i="1" a="1"/>
  <c r="N1176" i="1"/>
  <c r="M1176" i="1"/>
  <c r="O1175" i="1" a="1"/>
  <c r="N1175" i="1"/>
  <c r="M1175" i="1"/>
  <c r="O1174" i="1" a="1"/>
  <c r="N1174" i="1"/>
  <c r="M1174" i="1"/>
  <c r="O1173" i="1" a="1"/>
  <c r="N1173" i="1"/>
  <c r="M1173" i="1"/>
  <c r="O1172" i="1" a="1"/>
  <c r="N1172" i="1"/>
  <c r="M1172" i="1"/>
  <c r="O1171" i="1" a="1"/>
  <c r="N1171" i="1"/>
  <c r="M1171" i="1"/>
  <c r="O1170" i="1" a="1"/>
  <c r="N1170" i="1"/>
  <c r="M1170" i="1"/>
  <c r="O1169" i="1" a="1"/>
  <c r="N1169" i="1"/>
  <c r="M1169" i="1"/>
  <c r="O1168" i="1" a="1"/>
  <c r="N1168" i="1"/>
  <c r="M1168" i="1"/>
  <c r="O1167" i="1" a="1"/>
  <c r="N1167" i="1"/>
  <c r="M1167" i="1"/>
  <c r="O1166" i="1" a="1"/>
  <c r="N1166" i="1"/>
  <c r="M1166" i="1"/>
  <c r="O1165" i="1" a="1"/>
  <c r="N1165" i="1"/>
  <c r="M1165" i="1"/>
  <c r="O1164" i="1" a="1"/>
  <c r="N1164" i="1"/>
  <c r="M1164" i="1"/>
  <c r="O1163" i="1" a="1"/>
  <c r="N1163" i="1"/>
  <c r="M1163" i="1"/>
  <c r="O1162" i="1" a="1"/>
  <c r="N1162" i="1"/>
  <c r="M1162" i="1"/>
  <c r="O1161" i="1" a="1"/>
  <c r="N1161" i="1"/>
  <c r="M1161" i="1"/>
  <c r="O1160" i="1" a="1"/>
  <c r="N1160" i="1"/>
  <c r="M1160" i="1"/>
  <c r="O1159" i="1" a="1"/>
  <c r="N1159" i="1"/>
  <c r="M1159" i="1"/>
  <c r="O1158" i="1" a="1"/>
  <c r="N1158" i="1"/>
  <c r="M1158" i="1"/>
  <c r="O1157" i="1" a="1"/>
  <c r="N1157" i="1"/>
  <c r="M1157" i="1"/>
  <c r="O1156" i="1" a="1"/>
  <c r="N1156" i="1"/>
  <c r="M1156" i="1"/>
  <c r="O1155" i="1" a="1"/>
  <c r="N1155" i="1"/>
  <c r="M1155" i="1"/>
  <c r="O1154" i="1" a="1"/>
  <c r="N1154" i="1"/>
  <c r="M1154" i="1"/>
  <c r="O1153" i="1" a="1"/>
  <c r="N1153" i="1"/>
  <c r="M1153" i="1"/>
  <c r="O1152" i="1" a="1"/>
  <c r="N1152" i="1"/>
  <c r="M1152" i="1"/>
  <c r="O1151" i="1" a="1"/>
  <c r="N1151" i="1"/>
  <c r="M1151" i="1"/>
  <c r="O1150" i="1" a="1"/>
  <c r="N1150" i="1"/>
  <c r="M1150" i="1"/>
  <c r="O1149" i="1" a="1"/>
  <c r="N1149" i="1"/>
  <c r="M1149" i="1"/>
  <c r="O1148" i="1" a="1"/>
  <c r="N1148" i="1"/>
  <c r="M1148" i="1"/>
  <c r="O1147" i="1" a="1"/>
  <c r="N1147" i="1"/>
  <c r="M1147" i="1"/>
  <c r="O1146" i="1" a="1"/>
  <c r="N1146" i="1"/>
  <c r="M1146" i="1"/>
  <c r="O1145" i="1" a="1"/>
  <c r="N1145" i="1"/>
  <c r="M1145" i="1"/>
  <c r="O1144" i="1" a="1"/>
  <c r="N1144" i="1"/>
  <c r="M1144" i="1"/>
  <c r="O1143" i="1" a="1"/>
  <c r="N1143" i="1"/>
  <c r="M1143" i="1"/>
  <c r="O1142" i="1" a="1"/>
  <c r="N1142" i="1"/>
  <c r="M1142" i="1"/>
  <c r="O1141" i="1" a="1"/>
  <c r="N1141" i="1"/>
  <c r="M1141" i="1"/>
  <c r="O1140" i="1" a="1"/>
  <c r="N1140" i="1"/>
  <c r="M1140" i="1"/>
  <c r="O1139" i="1" a="1"/>
  <c r="N1139" i="1"/>
  <c r="M1139" i="1"/>
  <c r="O1138" i="1" a="1"/>
  <c r="N1138" i="1"/>
  <c r="M1138" i="1"/>
  <c r="O1137" i="1" a="1"/>
  <c r="N1137" i="1"/>
  <c r="M1137" i="1"/>
  <c r="O1136" i="1" a="1"/>
  <c r="N1136" i="1"/>
  <c r="M1136" i="1"/>
  <c r="O1135" i="1" a="1"/>
  <c r="N1135" i="1"/>
  <c r="M1135" i="1"/>
  <c r="O1134" i="1" a="1"/>
  <c r="N1134" i="1"/>
  <c r="M1134" i="1"/>
  <c r="O1133" i="1" a="1"/>
  <c r="N1133" i="1"/>
  <c r="M1133" i="1"/>
  <c r="O1132" i="1" a="1"/>
  <c r="N1132" i="1"/>
  <c r="M1132" i="1"/>
  <c r="O1131" i="1" a="1"/>
  <c r="N1131" i="1"/>
  <c r="M1131" i="1"/>
  <c r="O1130" i="1" a="1"/>
  <c r="N1130" i="1"/>
  <c r="M1130" i="1"/>
  <c r="O1129" i="1" a="1"/>
  <c r="N1129" i="1"/>
  <c r="M1129" i="1"/>
  <c r="O1128" i="1" a="1"/>
  <c r="N1128" i="1"/>
  <c r="M1128" i="1"/>
  <c r="O1127" i="1" a="1"/>
  <c r="N1127" i="1"/>
  <c r="M1127" i="1"/>
  <c r="O1126" i="1" a="1"/>
  <c r="N1126" i="1"/>
  <c r="M1126" i="1"/>
  <c r="O1125" i="1" a="1"/>
  <c r="N1125" i="1"/>
  <c r="M1125" i="1"/>
  <c r="O1124" i="1" a="1"/>
  <c r="N1124" i="1"/>
  <c r="M1124" i="1"/>
  <c r="O1123" i="1" a="1"/>
  <c r="N1123" i="1"/>
  <c r="M1123" i="1"/>
  <c r="O1122" i="1" a="1"/>
  <c r="N1122" i="1"/>
  <c r="M1122" i="1"/>
  <c r="O1121" i="1" a="1"/>
  <c r="N1121" i="1"/>
  <c r="M1121" i="1"/>
  <c r="O1120" i="1" a="1"/>
  <c r="N1120" i="1"/>
  <c r="M1120" i="1"/>
  <c r="O1119" i="1" a="1"/>
  <c r="N1119" i="1"/>
  <c r="M1119" i="1"/>
  <c r="O1118" i="1" a="1"/>
  <c r="N1118" i="1"/>
  <c r="M1118" i="1"/>
  <c r="O1117" i="1" a="1"/>
  <c r="N1117" i="1"/>
  <c r="M1117" i="1"/>
  <c r="O1116" i="1" a="1"/>
  <c r="N1116" i="1"/>
  <c r="M1116" i="1"/>
  <c r="O1115" i="1" a="1"/>
  <c r="N1115" i="1"/>
  <c r="M1115" i="1"/>
  <c r="O1114" i="1" a="1"/>
  <c r="N1114" i="1"/>
  <c r="M1114" i="1"/>
  <c r="O1113" i="1" a="1"/>
  <c r="N1113" i="1"/>
  <c r="M1113" i="1"/>
  <c r="O1112" i="1" a="1"/>
  <c r="N1112" i="1"/>
  <c r="M1112" i="1"/>
  <c r="O1111" i="1" a="1"/>
  <c r="N1111" i="1"/>
  <c r="M1111" i="1"/>
  <c r="O1110" i="1" a="1"/>
  <c r="N1110" i="1"/>
  <c r="M1110" i="1"/>
  <c r="O1109" i="1" a="1"/>
  <c r="N1109" i="1"/>
  <c r="M1109" i="1"/>
  <c r="O1108" i="1" a="1"/>
  <c r="N1108" i="1"/>
  <c r="M1108" i="1"/>
  <c r="O1107" i="1" a="1"/>
  <c r="N1107" i="1"/>
  <c r="M1107" i="1"/>
  <c r="O1106" i="1" a="1"/>
  <c r="N1106" i="1"/>
  <c r="M1106" i="1"/>
  <c r="O1105" i="1" a="1"/>
  <c r="N1105" i="1"/>
  <c r="M1105" i="1"/>
  <c r="O1104" i="1" a="1"/>
  <c r="N1104" i="1"/>
  <c r="M1104" i="1"/>
  <c r="O1103" i="1" a="1"/>
  <c r="N1103" i="1"/>
  <c r="M1103" i="1"/>
  <c r="O1102" i="1" a="1"/>
  <c r="N1102" i="1"/>
  <c r="M1102" i="1"/>
  <c r="O1101" i="1" a="1"/>
  <c r="N1101" i="1"/>
  <c r="M1101" i="1"/>
  <c r="O1100" i="1" a="1"/>
  <c r="N1100" i="1"/>
  <c r="M1100" i="1"/>
  <c r="O1099" i="1" a="1"/>
  <c r="N1099" i="1"/>
  <c r="M1099" i="1"/>
  <c r="O1098" i="1" a="1"/>
  <c r="N1098" i="1"/>
  <c r="M1098" i="1"/>
  <c r="O1097" i="1" a="1"/>
  <c r="N1097" i="1"/>
  <c r="M1097" i="1"/>
  <c r="O1096" i="1" a="1"/>
  <c r="N1096" i="1"/>
  <c r="M1096" i="1"/>
  <c r="O1095" i="1" a="1"/>
  <c r="N1095" i="1"/>
  <c r="M1095" i="1"/>
  <c r="O1094" i="1" a="1"/>
  <c r="N1094" i="1"/>
  <c r="M1094" i="1"/>
  <c r="O1093" i="1" a="1"/>
  <c r="N1093" i="1"/>
  <c r="M1093" i="1"/>
  <c r="O1092" i="1" a="1"/>
  <c r="N1092" i="1"/>
  <c r="M1092" i="1"/>
  <c r="O1091" i="1" a="1"/>
  <c r="N1091" i="1"/>
  <c r="M1091" i="1"/>
  <c r="O1090" i="1" a="1"/>
  <c r="N1090" i="1"/>
  <c r="M1090" i="1"/>
  <c r="O1089" i="1" a="1"/>
  <c r="N1089" i="1"/>
  <c r="M1089" i="1"/>
  <c r="O1088" i="1" a="1"/>
  <c r="N1088" i="1"/>
  <c r="M1088" i="1"/>
  <c r="O1087" i="1" a="1"/>
  <c r="N1087" i="1"/>
  <c r="M1087" i="1"/>
  <c r="O1086" i="1" a="1"/>
  <c r="N1086" i="1"/>
  <c r="M1086" i="1"/>
  <c r="O1085" i="1" a="1"/>
  <c r="N1085" i="1"/>
  <c r="M1085" i="1"/>
  <c r="O1084" i="1" a="1"/>
  <c r="N1084" i="1"/>
  <c r="M1084" i="1"/>
  <c r="O1083" i="1" a="1"/>
  <c r="N1083" i="1"/>
  <c r="M1083" i="1"/>
  <c r="O1082" i="1" a="1"/>
  <c r="N1082" i="1"/>
  <c r="M1082" i="1"/>
  <c r="O1081" i="1" a="1"/>
  <c r="N1081" i="1"/>
  <c r="M1081" i="1"/>
  <c r="O1080" i="1" a="1"/>
  <c r="N1080" i="1"/>
  <c r="M1080" i="1"/>
  <c r="O1079" i="1" a="1"/>
  <c r="N1079" i="1"/>
  <c r="M1079" i="1"/>
  <c r="O1078" i="1" a="1"/>
  <c r="N1078" i="1"/>
  <c r="M1078" i="1"/>
  <c r="O1077" i="1" a="1"/>
  <c r="N1077" i="1"/>
  <c r="M1077" i="1"/>
  <c r="O1076" i="1" a="1"/>
  <c r="N1076" i="1"/>
  <c r="M1076" i="1"/>
  <c r="O1075" i="1" a="1"/>
  <c r="N1075" i="1"/>
  <c r="M1075" i="1"/>
  <c r="O1074" i="1" a="1"/>
  <c r="N1074" i="1"/>
  <c r="M1074" i="1"/>
  <c r="O1073" i="1" a="1"/>
  <c r="N1073" i="1"/>
  <c r="M1073" i="1"/>
  <c r="O1072" i="1" a="1"/>
  <c r="N1072" i="1"/>
  <c r="M1072" i="1"/>
  <c r="O1071" i="1" a="1"/>
  <c r="N1071" i="1"/>
  <c r="M1071" i="1"/>
  <c r="O1070" i="1" a="1"/>
  <c r="N1070" i="1"/>
  <c r="M1070" i="1"/>
  <c r="O1069" i="1" a="1"/>
  <c r="N1069" i="1"/>
  <c r="M1069" i="1"/>
  <c r="O1068" i="1" a="1"/>
  <c r="N1068" i="1"/>
  <c r="M1068" i="1"/>
  <c r="O1067" i="1" a="1"/>
  <c r="N1067" i="1"/>
  <c r="M1067" i="1"/>
  <c r="O1066" i="1" a="1"/>
  <c r="N1066" i="1"/>
  <c r="M1066" i="1"/>
  <c r="O1065" i="1" a="1"/>
  <c r="N1065" i="1"/>
  <c r="M1065" i="1"/>
  <c r="O1064" i="1" a="1"/>
  <c r="N1064" i="1"/>
  <c r="M1064" i="1"/>
  <c r="O1063" i="1" a="1"/>
  <c r="N1063" i="1"/>
  <c r="M1063" i="1"/>
  <c r="O1062" i="1" a="1"/>
  <c r="N1062" i="1"/>
  <c r="M1062" i="1"/>
  <c r="O1061" i="1" a="1"/>
  <c r="N1061" i="1"/>
  <c r="M1061" i="1"/>
  <c r="O1060" i="1" a="1"/>
  <c r="N1060" i="1"/>
  <c r="M1060" i="1"/>
  <c r="O1059" i="1" a="1"/>
  <c r="N1059" i="1"/>
  <c r="M1059" i="1"/>
  <c r="O1058" i="1" a="1"/>
  <c r="N1058" i="1"/>
  <c r="M1058" i="1"/>
  <c r="O1057" i="1" a="1"/>
  <c r="N1057" i="1"/>
  <c r="M1057" i="1"/>
  <c r="O1056" i="1" a="1"/>
  <c r="N1056" i="1"/>
  <c r="M1056" i="1"/>
  <c r="O1055" i="1" a="1"/>
  <c r="N1055" i="1"/>
  <c r="M1055" i="1"/>
  <c r="O1054" i="1" a="1"/>
  <c r="N1054" i="1"/>
  <c r="M1054" i="1"/>
  <c r="O1053" i="1" a="1"/>
  <c r="N1053" i="1"/>
  <c r="M1053" i="1"/>
  <c r="O1052" i="1" a="1"/>
  <c r="N1052" i="1"/>
  <c r="M1052" i="1"/>
  <c r="O1051" i="1" a="1"/>
  <c r="N1051" i="1"/>
  <c r="M1051" i="1"/>
  <c r="O1050" i="1" a="1"/>
  <c r="N1050" i="1"/>
  <c r="M1050" i="1"/>
  <c r="O1049" i="1" a="1"/>
  <c r="N1049" i="1"/>
  <c r="M1049" i="1"/>
  <c r="O1048" i="1" a="1"/>
  <c r="N1048" i="1"/>
  <c r="M1048" i="1"/>
  <c r="O1047" i="1" a="1"/>
  <c r="N1047" i="1"/>
  <c r="M1047" i="1"/>
  <c r="O1046" i="1" a="1"/>
  <c r="N1046" i="1"/>
  <c r="M1046" i="1"/>
  <c r="O1045" i="1" a="1"/>
  <c r="N1045" i="1"/>
  <c r="M1045" i="1"/>
  <c r="O1044" i="1" a="1"/>
  <c r="N1044" i="1"/>
  <c r="M1044" i="1"/>
  <c r="O1043" i="1" a="1"/>
  <c r="N1043" i="1"/>
  <c r="M1043" i="1"/>
  <c r="O1042" i="1" a="1"/>
  <c r="N1042" i="1"/>
  <c r="M1042" i="1"/>
  <c r="O1041" i="1" a="1"/>
  <c r="N1041" i="1"/>
  <c r="M1041" i="1"/>
  <c r="O1040" i="1" a="1"/>
  <c r="N1040" i="1"/>
  <c r="M1040" i="1"/>
  <c r="O1039" i="1" a="1"/>
  <c r="N1039" i="1"/>
  <c r="M1039" i="1"/>
  <c r="O1038" i="1" a="1"/>
  <c r="N1038" i="1"/>
  <c r="M1038" i="1"/>
  <c r="O1037" i="1" a="1"/>
  <c r="N1037" i="1"/>
  <c r="M1037" i="1"/>
  <c r="O1036" i="1" a="1"/>
  <c r="N1036" i="1"/>
  <c r="M1036" i="1"/>
  <c r="O1035" i="1" a="1"/>
  <c r="N1035" i="1"/>
  <c r="M1035" i="1"/>
  <c r="O1034" i="1" a="1"/>
  <c r="N1034" i="1"/>
  <c r="M1034" i="1"/>
  <c r="O1033" i="1" a="1"/>
  <c r="N1033" i="1"/>
  <c r="M1033" i="1"/>
  <c r="O1032" i="1" a="1"/>
  <c r="N1032" i="1"/>
  <c r="M1032" i="1"/>
  <c r="O1031" i="1" a="1"/>
  <c r="N1031" i="1"/>
  <c r="M1031" i="1"/>
  <c r="O1030" i="1" a="1"/>
  <c r="N1030" i="1"/>
  <c r="M1030" i="1"/>
  <c r="O1029" i="1" a="1"/>
  <c r="N1029" i="1"/>
  <c r="M1029" i="1"/>
  <c r="O1028" i="1" a="1"/>
  <c r="N1028" i="1"/>
  <c r="M1028" i="1"/>
  <c r="O1027" i="1" a="1"/>
  <c r="N1027" i="1"/>
  <c r="M1027" i="1"/>
  <c r="O1026" i="1" a="1"/>
  <c r="N1026" i="1"/>
  <c r="M1026" i="1"/>
  <c r="O1025" i="1" a="1"/>
  <c r="N1025" i="1"/>
  <c r="M1025" i="1"/>
  <c r="O1024" i="1" a="1"/>
  <c r="N1024" i="1"/>
  <c r="M1024" i="1"/>
  <c r="O1023" i="1" a="1"/>
  <c r="N1023" i="1"/>
  <c r="M1023" i="1"/>
  <c r="O1022" i="1" a="1"/>
  <c r="N1022" i="1"/>
  <c r="M1022" i="1"/>
  <c r="O1021" i="1" a="1"/>
  <c r="N1021" i="1"/>
  <c r="M1021" i="1"/>
  <c r="O1020" i="1" a="1"/>
  <c r="N1020" i="1"/>
  <c r="M1020" i="1"/>
  <c r="O1019" i="1" a="1"/>
  <c r="N1019" i="1"/>
  <c r="M1019" i="1"/>
  <c r="O1018" i="1" a="1"/>
  <c r="N1018" i="1"/>
  <c r="M1018" i="1"/>
  <c r="O1017" i="1" a="1"/>
  <c r="N1017" i="1"/>
  <c r="M1017" i="1"/>
  <c r="O1016" i="1" a="1"/>
  <c r="N1016" i="1"/>
  <c r="M1016" i="1"/>
  <c r="O1015" i="1" a="1"/>
  <c r="N1015" i="1"/>
  <c r="M1015" i="1"/>
  <c r="O1014" i="1" a="1"/>
  <c r="N1014" i="1"/>
  <c r="M1014" i="1"/>
  <c r="O1013" i="1" a="1"/>
  <c r="N1013" i="1"/>
  <c r="M1013" i="1"/>
  <c r="O1012" i="1" a="1"/>
  <c r="N1012" i="1"/>
  <c r="M1012" i="1"/>
  <c r="O1011" i="1" a="1"/>
  <c r="N1011" i="1"/>
  <c r="M1011" i="1"/>
  <c r="O1010" i="1" a="1"/>
  <c r="N1010" i="1"/>
  <c r="M1010" i="1"/>
  <c r="O1009" i="1" a="1"/>
  <c r="N1009" i="1"/>
  <c r="M1009" i="1"/>
  <c r="O1008" i="1" a="1"/>
  <c r="N1008" i="1"/>
  <c r="M1008" i="1"/>
  <c r="O1007" i="1" a="1"/>
  <c r="N1007" i="1"/>
  <c r="M1007" i="1"/>
  <c r="O1006" i="1" a="1"/>
  <c r="N1006" i="1"/>
  <c r="M1006" i="1"/>
  <c r="O1005" i="1" a="1"/>
  <c r="N1005" i="1"/>
  <c r="M1005" i="1"/>
  <c r="O1004" i="1" a="1"/>
  <c r="N1004" i="1"/>
  <c r="M1004" i="1"/>
  <c r="O1003" i="1" a="1"/>
  <c r="N1003" i="1"/>
  <c r="M1003" i="1"/>
  <c r="O1002" i="1" a="1"/>
  <c r="N1002" i="1"/>
  <c r="M1002" i="1"/>
  <c r="O1001" i="1" a="1"/>
  <c r="N1001" i="1"/>
  <c r="M1001" i="1"/>
  <c r="O1000" i="1" a="1"/>
  <c r="N1000" i="1"/>
  <c r="M1000" i="1"/>
  <c r="O999" i="1" a="1"/>
  <c r="N999" i="1"/>
  <c r="M999" i="1"/>
  <c r="O998" i="1" a="1"/>
  <c r="N998" i="1"/>
  <c r="M998" i="1"/>
  <c r="O997" i="1" a="1"/>
  <c r="N997" i="1"/>
  <c r="M997" i="1"/>
  <c r="O996" i="1" a="1"/>
  <c r="N996" i="1"/>
  <c r="M996" i="1"/>
  <c r="O995" i="1" a="1"/>
  <c r="N995" i="1"/>
  <c r="M995" i="1"/>
  <c r="O994" i="1" a="1"/>
  <c r="N994" i="1"/>
  <c r="M994" i="1"/>
  <c r="O993" i="1" a="1"/>
  <c r="N993" i="1"/>
  <c r="M993" i="1"/>
  <c r="O992" i="1" a="1"/>
  <c r="N992" i="1"/>
  <c r="M992" i="1"/>
  <c r="O991" i="1" a="1"/>
  <c r="N991" i="1"/>
  <c r="M991" i="1"/>
  <c r="O990" i="1" a="1"/>
  <c r="N990" i="1"/>
  <c r="M990" i="1"/>
  <c r="O989" i="1" a="1"/>
  <c r="N989" i="1"/>
  <c r="M989" i="1"/>
  <c r="O988" i="1" a="1"/>
  <c r="N988" i="1"/>
  <c r="M988" i="1"/>
  <c r="O987" i="1" a="1"/>
  <c r="N987" i="1"/>
  <c r="M987" i="1"/>
  <c r="O986" i="1" a="1"/>
  <c r="N986" i="1"/>
  <c r="M986" i="1"/>
  <c r="O985" i="1" a="1"/>
  <c r="N985" i="1"/>
  <c r="M985" i="1"/>
  <c r="O984" i="1" a="1"/>
  <c r="N984" i="1"/>
  <c r="M984" i="1"/>
  <c r="O983" i="1" a="1"/>
  <c r="N983" i="1"/>
  <c r="M983" i="1"/>
  <c r="O982" i="1" a="1"/>
  <c r="N982" i="1"/>
  <c r="M982" i="1"/>
  <c r="O981" i="1" a="1"/>
  <c r="N981" i="1"/>
  <c r="M981" i="1"/>
  <c r="O980" i="1" a="1"/>
  <c r="N980" i="1"/>
  <c r="M980" i="1"/>
  <c r="O979" i="1" a="1"/>
  <c r="N979" i="1"/>
  <c r="M979" i="1"/>
  <c r="O978" i="1" a="1"/>
  <c r="N978" i="1"/>
  <c r="M978" i="1"/>
  <c r="O977" i="1" a="1"/>
  <c r="N977" i="1"/>
  <c r="M977" i="1"/>
  <c r="O976" i="1" a="1"/>
  <c r="N976" i="1"/>
  <c r="M976" i="1"/>
  <c r="O975" i="1" a="1"/>
  <c r="N975" i="1"/>
  <c r="M975" i="1"/>
  <c r="O974" i="1" a="1"/>
  <c r="N974" i="1"/>
  <c r="M974" i="1"/>
  <c r="O973" i="1" a="1"/>
  <c r="N973" i="1"/>
  <c r="M973" i="1"/>
  <c r="O972" i="1" a="1"/>
  <c r="N972" i="1"/>
  <c r="M972" i="1"/>
  <c r="O971" i="1" a="1"/>
  <c r="N971" i="1"/>
  <c r="M971" i="1"/>
  <c r="O970" i="1" a="1"/>
  <c r="N970" i="1"/>
  <c r="M970" i="1"/>
  <c r="O969" i="1" a="1"/>
  <c r="N969" i="1"/>
  <c r="M969" i="1"/>
  <c r="O968" i="1" a="1"/>
  <c r="N968" i="1"/>
  <c r="M968" i="1"/>
  <c r="O967" i="1" a="1"/>
  <c r="N967" i="1"/>
  <c r="M967" i="1"/>
  <c r="O966" i="1" a="1"/>
  <c r="N966" i="1"/>
  <c r="M966" i="1"/>
  <c r="O965" i="1" a="1"/>
  <c r="N965" i="1"/>
  <c r="M965" i="1"/>
  <c r="O964" i="1" a="1"/>
  <c r="N964" i="1"/>
  <c r="M964" i="1"/>
  <c r="O963" i="1" a="1"/>
  <c r="N963" i="1"/>
  <c r="M963" i="1"/>
  <c r="O962" i="1" a="1"/>
  <c r="N962" i="1"/>
  <c r="M962" i="1"/>
  <c r="O961" i="1" a="1"/>
  <c r="N961" i="1"/>
  <c r="M961" i="1"/>
  <c r="O960" i="1" a="1"/>
  <c r="N960" i="1"/>
  <c r="M960" i="1"/>
  <c r="O959" i="1" a="1"/>
  <c r="N959" i="1"/>
  <c r="M959" i="1"/>
  <c r="O958" i="1" a="1"/>
  <c r="N958" i="1"/>
  <c r="M958" i="1"/>
  <c r="O957" i="1" a="1"/>
  <c r="N957" i="1"/>
  <c r="M957" i="1"/>
  <c r="O956" i="1" a="1"/>
  <c r="N956" i="1"/>
  <c r="M956" i="1"/>
  <c r="O955" i="1" a="1"/>
  <c r="N955" i="1"/>
  <c r="M955" i="1"/>
  <c r="O954" i="1" a="1"/>
  <c r="N954" i="1"/>
  <c r="M954" i="1"/>
  <c r="O953" i="1" a="1"/>
  <c r="N953" i="1"/>
  <c r="M953" i="1"/>
  <c r="O952" i="1" a="1"/>
  <c r="N952" i="1"/>
  <c r="M952" i="1"/>
  <c r="O951" i="1" a="1"/>
  <c r="N951" i="1"/>
  <c r="M951" i="1"/>
  <c r="O950" i="1" a="1"/>
  <c r="N950" i="1"/>
  <c r="M950" i="1"/>
  <c r="O949" i="1" a="1"/>
  <c r="N949" i="1"/>
  <c r="M949" i="1"/>
  <c r="O948" i="1" a="1"/>
  <c r="N948" i="1"/>
  <c r="M948" i="1"/>
  <c r="O947" i="1" a="1"/>
  <c r="N947" i="1"/>
  <c r="M947" i="1"/>
  <c r="O946" i="1" a="1"/>
  <c r="N946" i="1"/>
  <c r="M946" i="1"/>
  <c r="O945" i="1" a="1"/>
  <c r="N945" i="1"/>
  <c r="M945" i="1"/>
  <c r="O944" i="1" a="1"/>
  <c r="N944" i="1"/>
  <c r="M944" i="1"/>
  <c r="O943" i="1" a="1"/>
  <c r="N943" i="1"/>
  <c r="M943" i="1"/>
  <c r="O942" i="1" a="1"/>
  <c r="N942" i="1"/>
  <c r="M942" i="1"/>
  <c r="O941" i="1" a="1"/>
  <c r="N941" i="1"/>
  <c r="M941" i="1"/>
  <c r="O940" i="1" a="1"/>
  <c r="N940" i="1"/>
  <c r="M940" i="1"/>
  <c r="O939" i="1" a="1"/>
  <c r="N939" i="1"/>
  <c r="M939" i="1"/>
  <c r="O938" i="1" a="1"/>
  <c r="N938" i="1"/>
  <c r="M938" i="1"/>
  <c r="O937" i="1" a="1"/>
  <c r="N937" i="1"/>
  <c r="M937" i="1"/>
  <c r="O936" i="1" a="1"/>
  <c r="N936" i="1"/>
  <c r="M936" i="1"/>
  <c r="O935" i="1" a="1"/>
  <c r="N935" i="1"/>
  <c r="M935" i="1"/>
  <c r="O934" i="1" a="1"/>
  <c r="N934" i="1"/>
  <c r="M934" i="1"/>
  <c r="O933" i="1" a="1"/>
  <c r="N933" i="1"/>
  <c r="M933" i="1"/>
  <c r="O932" i="1" a="1"/>
  <c r="N932" i="1"/>
  <c r="M932" i="1"/>
  <c r="O931" i="1" a="1"/>
  <c r="N931" i="1"/>
  <c r="M931" i="1"/>
  <c r="O930" i="1" a="1"/>
  <c r="N930" i="1"/>
  <c r="M930" i="1"/>
  <c r="O929" i="1" a="1"/>
  <c r="N929" i="1"/>
  <c r="M929" i="1"/>
  <c r="O928" i="1" a="1"/>
  <c r="N928" i="1"/>
  <c r="M928" i="1"/>
  <c r="O927" i="1" a="1"/>
  <c r="N927" i="1"/>
  <c r="M927" i="1"/>
  <c r="O926" i="1" a="1"/>
  <c r="N926" i="1"/>
  <c r="M926" i="1"/>
  <c r="O925" i="1" a="1"/>
  <c r="N925" i="1"/>
  <c r="M925" i="1"/>
  <c r="O924" i="1" a="1"/>
  <c r="N924" i="1"/>
  <c r="M924" i="1"/>
  <c r="O923" i="1" a="1"/>
  <c r="N923" i="1"/>
  <c r="M923" i="1"/>
  <c r="O922" i="1" a="1"/>
  <c r="N922" i="1"/>
  <c r="M922" i="1"/>
  <c r="O921" i="1" a="1"/>
  <c r="N921" i="1"/>
  <c r="M921" i="1"/>
  <c r="O920" i="1" a="1"/>
  <c r="N920" i="1"/>
  <c r="M920" i="1"/>
  <c r="O919" i="1" a="1"/>
  <c r="N919" i="1"/>
  <c r="M919" i="1"/>
  <c r="O918" i="1" a="1"/>
  <c r="N918" i="1"/>
  <c r="M918" i="1"/>
  <c r="O917" i="1" a="1"/>
  <c r="N917" i="1"/>
  <c r="M917" i="1"/>
  <c r="O916" i="1" a="1"/>
  <c r="N916" i="1"/>
  <c r="M916" i="1"/>
  <c r="O915" i="1" a="1"/>
  <c r="N915" i="1"/>
  <c r="M915" i="1"/>
  <c r="O914" i="1" a="1"/>
  <c r="N914" i="1"/>
  <c r="M914" i="1"/>
  <c r="O913" i="1" a="1"/>
  <c r="N913" i="1"/>
  <c r="M913" i="1"/>
  <c r="O912" i="1" a="1"/>
  <c r="N912" i="1"/>
  <c r="M912" i="1"/>
  <c r="O911" i="1" a="1"/>
  <c r="N911" i="1"/>
  <c r="M911" i="1"/>
  <c r="O910" i="1" a="1"/>
  <c r="N910" i="1"/>
  <c r="M910" i="1"/>
  <c r="O909" i="1" a="1"/>
  <c r="N909" i="1"/>
  <c r="M909" i="1"/>
  <c r="O908" i="1" a="1"/>
  <c r="N908" i="1"/>
  <c r="M908" i="1"/>
  <c r="O907" i="1" a="1"/>
  <c r="N907" i="1"/>
  <c r="M907" i="1"/>
  <c r="O906" i="1" a="1"/>
  <c r="N906" i="1"/>
  <c r="M906" i="1"/>
  <c r="O905" i="1" a="1"/>
  <c r="N905" i="1"/>
  <c r="M905" i="1"/>
  <c r="O904" i="1" a="1"/>
  <c r="N904" i="1"/>
  <c r="M904" i="1"/>
  <c r="O903" i="1" a="1"/>
  <c r="N903" i="1"/>
  <c r="M903" i="1"/>
  <c r="O902" i="1" a="1"/>
  <c r="N902" i="1"/>
  <c r="M902" i="1"/>
  <c r="O901" i="1" a="1"/>
  <c r="N901" i="1"/>
  <c r="M901" i="1"/>
  <c r="O900" i="1" a="1"/>
  <c r="N900" i="1"/>
  <c r="M900" i="1"/>
  <c r="O899" i="1" a="1"/>
  <c r="N899" i="1"/>
  <c r="M899" i="1"/>
  <c r="O898" i="1" a="1"/>
  <c r="N898" i="1"/>
  <c r="M898" i="1"/>
  <c r="O897" i="1" a="1"/>
  <c r="N897" i="1"/>
  <c r="M897" i="1"/>
  <c r="O896" i="1" a="1"/>
  <c r="N896" i="1"/>
  <c r="M896" i="1"/>
  <c r="O895" i="1" a="1"/>
  <c r="N895" i="1"/>
  <c r="M895" i="1"/>
  <c r="O894" i="1" a="1"/>
  <c r="N894" i="1"/>
  <c r="M894" i="1"/>
  <c r="O893" i="1" a="1"/>
  <c r="N893" i="1"/>
  <c r="M893" i="1"/>
  <c r="O892" i="1" a="1"/>
  <c r="N892" i="1"/>
  <c r="M892" i="1"/>
  <c r="O891" i="1" a="1"/>
  <c r="N891" i="1"/>
  <c r="M891" i="1"/>
  <c r="O890" i="1" a="1"/>
  <c r="N890" i="1"/>
  <c r="M890" i="1"/>
  <c r="O889" i="1" a="1"/>
  <c r="N889" i="1"/>
  <c r="M889" i="1"/>
  <c r="O888" i="1" a="1"/>
  <c r="N888" i="1"/>
  <c r="M888" i="1"/>
  <c r="O887" i="1" a="1"/>
  <c r="N887" i="1"/>
  <c r="M887" i="1"/>
  <c r="O886" i="1" a="1"/>
  <c r="N886" i="1"/>
  <c r="M886" i="1"/>
  <c r="O885" i="1" a="1"/>
  <c r="N885" i="1"/>
  <c r="M885" i="1"/>
  <c r="O884" i="1" a="1"/>
  <c r="N884" i="1"/>
  <c r="M884" i="1"/>
  <c r="O883" i="1" a="1"/>
  <c r="N883" i="1"/>
  <c r="M883" i="1"/>
  <c r="O882" i="1" a="1"/>
  <c r="N882" i="1"/>
  <c r="M882" i="1"/>
  <c r="O881" i="1" a="1"/>
  <c r="N881" i="1"/>
  <c r="M881" i="1"/>
  <c r="O880" i="1" a="1"/>
  <c r="N880" i="1"/>
  <c r="M880" i="1"/>
  <c r="O879" i="1" a="1"/>
  <c r="N879" i="1"/>
  <c r="M879" i="1"/>
  <c r="O878" i="1" a="1"/>
  <c r="N878" i="1"/>
  <c r="M878" i="1"/>
  <c r="O877" i="1" a="1"/>
  <c r="N877" i="1"/>
  <c r="M877" i="1"/>
  <c r="O876" i="1" a="1"/>
  <c r="N876" i="1"/>
  <c r="M876" i="1"/>
  <c r="O875" i="1" a="1"/>
  <c r="N875" i="1"/>
  <c r="M875" i="1"/>
  <c r="O874" i="1" a="1"/>
  <c r="N874" i="1"/>
  <c r="M874" i="1"/>
  <c r="O873" i="1" a="1"/>
  <c r="N873" i="1"/>
  <c r="M873" i="1"/>
  <c r="O872" i="1" a="1"/>
  <c r="N872" i="1"/>
  <c r="M872" i="1"/>
  <c r="O871" i="1" a="1"/>
  <c r="N871" i="1"/>
  <c r="M871" i="1"/>
  <c r="O870" i="1" a="1"/>
  <c r="N870" i="1"/>
  <c r="M870" i="1"/>
  <c r="O869" i="1" a="1"/>
  <c r="N869" i="1"/>
  <c r="M869" i="1"/>
  <c r="O868" i="1" a="1"/>
  <c r="N868" i="1"/>
  <c r="M868" i="1"/>
  <c r="O867" i="1" a="1"/>
  <c r="N867" i="1"/>
  <c r="M867" i="1"/>
  <c r="O866" i="1" a="1"/>
  <c r="N866" i="1"/>
  <c r="M866" i="1"/>
  <c r="O865" i="1" a="1"/>
  <c r="N865" i="1"/>
  <c r="M865" i="1"/>
  <c r="O864" i="1" a="1"/>
  <c r="N864" i="1"/>
  <c r="M864" i="1"/>
  <c r="O863" i="1" a="1"/>
  <c r="N863" i="1"/>
  <c r="M863" i="1"/>
  <c r="O862" i="1" a="1"/>
  <c r="N862" i="1"/>
  <c r="M862" i="1"/>
  <c r="O861" i="1" a="1"/>
  <c r="N861" i="1"/>
  <c r="M861" i="1"/>
  <c r="O860" i="1" a="1"/>
  <c r="N860" i="1"/>
  <c r="M860" i="1"/>
  <c r="O859" i="1" a="1"/>
  <c r="N859" i="1"/>
  <c r="M859" i="1"/>
  <c r="O858" i="1" a="1"/>
  <c r="N858" i="1"/>
  <c r="M858" i="1"/>
  <c r="O857" i="1" a="1"/>
  <c r="N857" i="1"/>
  <c r="M857" i="1"/>
  <c r="O856" i="1" a="1"/>
  <c r="N856" i="1"/>
  <c r="M856" i="1"/>
  <c r="O855" i="1" a="1"/>
  <c r="N855" i="1"/>
  <c r="M855" i="1"/>
  <c r="O854" i="1" a="1"/>
  <c r="N854" i="1"/>
  <c r="M854" i="1"/>
  <c r="O853" i="1" a="1"/>
  <c r="N853" i="1"/>
  <c r="M853" i="1"/>
  <c r="O852" i="1" a="1"/>
  <c r="N852" i="1"/>
  <c r="M852" i="1"/>
  <c r="O851" i="1" a="1"/>
  <c r="N851" i="1"/>
  <c r="M851" i="1"/>
  <c r="O850" i="1" a="1"/>
  <c r="N850" i="1"/>
  <c r="M850" i="1"/>
  <c r="O849" i="1" a="1"/>
  <c r="N849" i="1"/>
  <c r="M849" i="1"/>
  <c r="O848" i="1" a="1"/>
  <c r="N848" i="1"/>
  <c r="M848" i="1"/>
  <c r="O847" i="1" a="1"/>
  <c r="N847" i="1"/>
  <c r="M847" i="1"/>
  <c r="O846" i="1" a="1"/>
  <c r="N846" i="1"/>
  <c r="M846" i="1"/>
  <c r="O845" i="1" a="1"/>
  <c r="N845" i="1"/>
  <c r="M845" i="1"/>
  <c r="O844" i="1" a="1"/>
  <c r="N844" i="1"/>
  <c r="M844" i="1"/>
  <c r="O843" i="1" a="1"/>
  <c r="N843" i="1"/>
  <c r="M843" i="1"/>
  <c r="O842" i="1" a="1"/>
  <c r="N842" i="1"/>
  <c r="M842" i="1"/>
  <c r="O841" i="1" a="1"/>
  <c r="N841" i="1"/>
  <c r="M841" i="1"/>
  <c r="O840" i="1" a="1"/>
  <c r="N840" i="1"/>
  <c r="M840" i="1"/>
  <c r="O839" i="1" a="1"/>
  <c r="N839" i="1"/>
  <c r="M839" i="1"/>
  <c r="O838" i="1" a="1"/>
  <c r="N838" i="1"/>
  <c r="M838" i="1"/>
  <c r="O837" i="1" a="1"/>
  <c r="N837" i="1"/>
  <c r="M837" i="1"/>
  <c r="O836" i="1" a="1"/>
  <c r="N836" i="1"/>
  <c r="M836" i="1"/>
  <c r="O835" i="1" a="1"/>
  <c r="N835" i="1"/>
  <c r="M835" i="1"/>
  <c r="O834" i="1" a="1"/>
  <c r="N834" i="1"/>
  <c r="M834" i="1"/>
  <c r="O833" i="1" a="1"/>
  <c r="N833" i="1"/>
  <c r="M833" i="1"/>
  <c r="O832" i="1" a="1"/>
  <c r="N832" i="1"/>
  <c r="M832" i="1"/>
  <c r="O831" i="1" a="1"/>
  <c r="N831" i="1"/>
  <c r="M831" i="1"/>
  <c r="O830" i="1" a="1"/>
  <c r="N830" i="1"/>
  <c r="M830" i="1"/>
  <c r="O829" i="1" a="1"/>
  <c r="N829" i="1"/>
  <c r="M829" i="1"/>
  <c r="O828" i="1" a="1"/>
  <c r="N828" i="1"/>
  <c r="M828" i="1"/>
  <c r="O827" i="1" a="1"/>
  <c r="N827" i="1"/>
  <c r="M827" i="1"/>
  <c r="O826" i="1" a="1"/>
  <c r="N826" i="1"/>
  <c r="M826" i="1"/>
  <c r="O825" i="1" a="1"/>
  <c r="N825" i="1"/>
  <c r="M825" i="1"/>
  <c r="O824" i="1" a="1"/>
  <c r="N824" i="1"/>
  <c r="M824" i="1"/>
  <c r="O823" i="1" a="1"/>
  <c r="N823" i="1"/>
  <c r="M823" i="1"/>
  <c r="O822" i="1" a="1"/>
  <c r="N822" i="1"/>
  <c r="M822" i="1"/>
  <c r="O821" i="1" a="1"/>
  <c r="N821" i="1"/>
  <c r="M821" i="1"/>
  <c r="O820" i="1" a="1"/>
  <c r="N820" i="1"/>
  <c r="M820" i="1"/>
  <c r="O819" i="1" a="1"/>
  <c r="N819" i="1"/>
  <c r="M819" i="1"/>
  <c r="O818" i="1" a="1"/>
  <c r="N818" i="1"/>
  <c r="M818" i="1"/>
  <c r="O817" i="1" a="1"/>
  <c r="N817" i="1"/>
  <c r="M817" i="1"/>
  <c r="O816" i="1" a="1"/>
  <c r="N816" i="1"/>
  <c r="M816" i="1"/>
  <c r="O815" i="1" a="1"/>
  <c r="N815" i="1"/>
  <c r="M815" i="1"/>
  <c r="O814" i="1" a="1"/>
  <c r="N814" i="1"/>
  <c r="M814" i="1"/>
  <c r="O813" i="1" a="1"/>
  <c r="N813" i="1"/>
  <c r="M813" i="1"/>
  <c r="O812" i="1" a="1"/>
  <c r="N812" i="1"/>
  <c r="M812" i="1"/>
  <c r="O811" i="1" a="1"/>
  <c r="N811" i="1"/>
  <c r="M811" i="1"/>
  <c r="O810" i="1" a="1"/>
  <c r="N810" i="1"/>
  <c r="M810" i="1"/>
  <c r="O809" i="1" a="1"/>
  <c r="N809" i="1"/>
  <c r="M809" i="1"/>
  <c r="O808" i="1" a="1"/>
  <c r="N808" i="1"/>
  <c r="M808" i="1"/>
  <c r="O807" i="1" a="1"/>
  <c r="N807" i="1"/>
  <c r="M807" i="1"/>
  <c r="O806" i="1" a="1"/>
  <c r="N806" i="1"/>
  <c r="M806" i="1"/>
  <c r="O805" i="1" a="1"/>
  <c r="N805" i="1"/>
  <c r="M805" i="1"/>
  <c r="O804" i="1" a="1"/>
  <c r="N804" i="1"/>
  <c r="M804" i="1"/>
  <c r="O803" i="1" a="1"/>
  <c r="N803" i="1"/>
  <c r="M803" i="1"/>
  <c r="O802" i="1" a="1"/>
  <c r="N802" i="1"/>
  <c r="M802" i="1"/>
  <c r="O801" i="1" a="1"/>
  <c r="N801" i="1"/>
  <c r="M801" i="1"/>
  <c r="O800" i="1" a="1"/>
  <c r="N800" i="1"/>
  <c r="M800" i="1"/>
  <c r="O799" i="1" a="1"/>
  <c r="N799" i="1"/>
  <c r="M799" i="1"/>
  <c r="O798" i="1" a="1"/>
  <c r="N798" i="1"/>
  <c r="M798" i="1"/>
  <c r="O797" i="1" a="1"/>
  <c r="N797" i="1"/>
  <c r="M797" i="1"/>
  <c r="O796" i="1" a="1"/>
  <c r="N796" i="1"/>
  <c r="M796" i="1"/>
  <c r="O795" i="1" a="1"/>
  <c r="N795" i="1"/>
  <c r="M795" i="1"/>
  <c r="O794" i="1" a="1"/>
  <c r="N794" i="1"/>
  <c r="M794" i="1"/>
  <c r="O793" i="1" a="1"/>
  <c r="N793" i="1"/>
  <c r="M793" i="1"/>
  <c r="O792" i="1" a="1"/>
  <c r="N792" i="1"/>
  <c r="M792" i="1"/>
  <c r="O791" i="1" a="1"/>
  <c r="N791" i="1"/>
  <c r="M791" i="1"/>
  <c r="O790" i="1" a="1"/>
  <c r="N790" i="1"/>
  <c r="M790" i="1"/>
  <c r="O789" i="1" a="1"/>
  <c r="N789" i="1"/>
  <c r="M789" i="1"/>
  <c r="O788" i="1" a="1"/>
  <c r="N788" i="1"/>
  <c r="M788" i="1"/>
  <c r="O787" i="1" a="1"/>
  <c r="N787" i="1"/>
  <c r="M787" i="1"/>
  <c r="O786" i="1" a="1"/>
  <c r="N786" i="1"/>
  <c r="M786" i="1"/>
  <c r="O785" i="1" a="1"/>
  <c r="N785" i="1"/>
  <c r="M785" i="1"/>
  <c r="O784" i="1" a="1"/>
  <c r="N784" i="1"/>
  <c r="M784" i="1"/>
  <c r="O783" i="1" a="1"/>
  <c r="N783" i="1"/>
  <c r="M783" i="1"/>
  <c r="O782" i="1" a="1"/>
  <c r="N782" i="1"/>
  <c r="M782" i="1"/>
  <c r="O781" i="1" a="1"/>
  <c r="N781" i="1"/>
  <c r="M781" i="1"/>
  <c r="O780" i="1" a="1"/>
  <c r="N780" i="1"/>
  <c r="M780" i="1"/>
  <c r="O779" i="1" a="1"/>
  <c r="N779" i="1"/>
  <c r="M779" i="1"/>
  <c r="O778" i="1" a="1"/>
  <c r="N778" i="1"/>
  <c r="M778" i="1"/>
  <c r="O777" i="1" a="1"/>
  <c r="N777" i="1"/>
  <c r="M777" i="1"/>
  <c r="O776" i="1" a="1"/>
  <c r="N776" i="1"/>
  <c r="M776" i="1"/>
  <c r="O775" i="1" a="1"/>
  <c r="N775" i="1"/>
  <c r="M775" i="1"/>
  <c r="O774" i="1" a="1"/>
  <c r="N774" i="1"/>
  <c r="M774" i="1"/>
  <c r="O773" i="1" a="1"/>
  <c r="N773" i="1"/>
  <c r="M773" i="1"/>
  <c r="O772" i="1" a="1"/>
  <c r="N772" i="1"/>
  <c r="M772" i="1"/>
  <c r="O771" i="1" a="1"/>
  <c r="N771" i="1"/>
  <c r="M771" i="1"/>
  <c r="O770" i="1" a="1"/>
  <c r="N770" i="1"/>
  <c r="M770" i="1"/>
  <c r="O769" i="1" a="1"/>
  <c r="N769" i="1"/>
  <c r="M769" i="1"/>
  <c r="O768" i="1" a="1"/>
  <c r="N768" i="1"/>
  <c r="M768" i="1"/>
  <c r="O767" i="1" a="1"/>
  <c r="N767" i="1"/>
  <c r="M767" i="1"/>
  <c r="O766" i="1" a="1"/>
  <c r="N766" i="1"/>
  <c r="M766" i="1"/>
  <c r="O765" i="1" a="1"/>
  <c r="N765" i="1"/>
  <c r="M765" i="1"/>
  <c r="O764" i="1" a="1"/>
  <c r="N764" i="1"/>
  <c r="M764" i="1"/>
  <c r="O763" i="1" a="1"/>
  <c r="N763" i="1"/>
  <c r="M763" i="1"/>
  <c r="O762" i="1" a="1"/>
  <c r="N762" i="1"/>
  <c r="M762" i="1"/>
  <c r="O761" i="1" a="1"/>
  <c r="N761" i="1"/>
  <c r="M761" i="1"/>
  <c r="O760" i="1" a="1"/>
  <c r="N760" i="1"/>
  <c r="M760" i="1"/>
  <c r="O759" i="1" a="1"/>
  <c r="N759" i="1"/>
  <c r="M759" i="1"/>
  <c r="O758" i="1" a="1"/>
  <c r="N758" i="1"/>
  <c r="M758" i="1"/>
  <c r="O757" i="1" a="1"/>
  <c r="N757" i="1"/>
  <c r="M757" i="1"/>
  <c r="O756" i="1" a="1"/>
  <c r="N756" i="1"/>
  <c r="M756" i="1"/>
  <c r="O755" i="1" a="1"/>
  <c r="N755" i="1"/>
  <c r="M755" i="1"/>
  <c r="O754" i="1" a="1"/>
  <c r="N754" i="1"/>
  <c r="M754" i="1"/>
  <c r="O753" i="1" a="1"/>
  <c r="N753" i="1"/>
  <c r="M753" i="1"/>
  <c r="O752" i="1" a="1"/>
  <c r="N752" i="1"/>
  <c r="M752" i="1"/>
  <c r="O751" i="1" a="1"/>
  <c r="N751" i="1"/>
  <c r="M751" i="1"/>
  <c r="O750" i="1" a="1"/>
  <c r="N750" i="1"/>
  <c r="M750" i="1"/>
  <c r="O749" i="1" a="1"/>
  <c r="N749" i="1"/>
  <c r="M749" i="1"/>
  <c r="O748" i="1" a="1"/>
  <c r="N748" i="1"/>
  <c r="M748" i="1"/>
  <c r="O747" i="1" a="1"/>
  <c r="N747" i="1"/>
  <c r="M747" i="1"/>
  <c r="O746" i="1" a="1"/>
  <c r="N746" i="1"/>
  <c r="M746" i="1"/>
  <c r="O745" i="1" a="1"/>
  <c r="N745" i="1"/>
  <c r="M745" i="1"/>
  <c r="O744" i="1" a="1"/>
  <c r="N744" i="1"/>
  <c r="M744" i="1"/>
  <c r="O743" i="1" a="1"/>
  <c r="N743" i="1"/>
  <c r="M743" i="1"/>
  <c r="O742" i="1" a="1"/>
  <c r="N742" i="1"/>
  <c r="M742" i="1"/>
  <c r="O741" i="1" a="1"/>
  <c r="N741" i="1"/>
  <c r="M741" i="1"/>
  <c r="O740" i="1" a="1"/>
  <c r="N740" i="1"/>
  <c r="M740" i="1"/>
  <c r="O739" i="1" a="1"/>
  <c r="N739" i="1"/>
  <c r="M739" i="1"/>
  <c r="O738" i="1" a="1"/>
  <c r="N738" i="1"/>
  <c r="M738" i="1"/>
  <c r="O737" i="1" a="1"/>
  <c r="N737" i="1"/>
  <c r="M737" i="1"/>
  <c r="O736" i="1" a="1"/>
  <c r="N736" i="1"/>
  <c r="M736" i="1"/>
  <c r="O735" i="1" a="1"/>
  <c r="N735" i="1"/>
  <c r="M735" i="1"/>
  <c r="O734" i="1" a="1"/>
  <c r="N734" i="1"/>
  <c r="M734" i="1"/>
  <c r="O733" i="1" a="1"/>
  <c r="N733" i="1"/>
  <c r="M733" i="1"/>
  <c r="O732" i="1" a="1"/>
  <c r="N732" i="1"/>
  <c r="M732" i="1"/>
  <c r="O731" i="1" a="1"/>
  <c r="N731" i="1"/>
  <c r="M731" i="1"/>
  <c r="O730" i="1" a="1"/>
  <c r="N730" i="1"/>
  <c r="M730" i="1"/>
  <c r="O729" i="1" a="1"/>
  <c r="N729" i="1"/>
  <c r="M729" i="1"/>
  <c r="O728" i="1" a="1"/>
  <c r="N728" i="1"/>
  <c r="M728" i="1"/>
  <c r="O727" i="1" a="1"/>
  <c r="N727" i="1"/>
  <c r="M727" i="1"/>
  <c r="O726" i="1" a="1"/>
  <c r="N726" i="1"/>
  <c r="M726" i="1"/>
  <c r="O725" i="1" a="1"/>
  <c r="N725" i="1"/>
  <c r="M725" i="1"/>
  <c r="O724" i="1" a="1"/>
  <c r="N724" i="1"/>
  <c r="M724" i="1"/>
  <c r="O723" i="1" a="1"/>
  <c r="N723" i="1"/>
  <c r="M723" i="1"/>
  <c r="O722" i="1" a="1"/>
  <c r="N722" i="1"/>
  <c r="M722" i="1"/>
  <c r="O721" i="1" a="1"/>
  <c r="N721" i="1"/>
  <c r="M721" i="1"/>
  <c r="O720" i="1" a="1"/>
  <c r="N720" i="1"/>
  <c r="M720" i="1"/>
  <c r="O719" i="1" a="1"/>
  <c r="N719" i="1"/>
  <c r="M719" i="1"/>
  <c r="O718" i="1" a="1"/>
  <c r="N718" i="1"/>
  <c r="M718" i="1"/>
  <c r="O717" i="1" a="1"/>
  <c r="N717" i="1"/>
  <c r="M717" i="1"/>
  <c r="O716" i="1" a="1"/>
  <c r="N716" i="1"/>
  <c r="M716" i="1"/>
  <c r="O715" i="1" a="1"/>
  <c r="N715" i="1"/>
  <c r="M715" i="1"/>
  <c r="O714" i="1" a="1"/>
  <c r="N714" i="1"/>
  <c r="M714" i="1"/>
  <c r="O713" i="1" a="1"/>
  <c r="N713" i="1"/>
  <c r="M713" i="1"/>
  <c r="O712" i="1" a="1"/>
  <c r="N712" i="1"/>
  <c r="M712" i="1"/>
  <c r="O711" i="1" a="1"/>
  <c r="N711" i="1"/>
  <c r="M711" i="1"/>
  <c r="O710" i="1" a="1"/>
  <c r="N710" i="1"/>
  <c r="M710" i="1"/>
  <c r="O709" i="1" a="1"/>
  <c r="N709" i="1"/>
  <c r="M709" i="1"/>
  <c r="O708" i="1" a="1"/>
  <c r="N708" i="1"/>
  <c r="M708" i="1"/>
  <c r="O707" i="1" a="1"/>
  <c r="N707" i="1"/>
  <c r="M707" i="1"/>
  <c r="O706" i="1" a="1"/>
  <c r="N706" i="1"/>
  <c r="M706" i="1"/>
  <c r="O705" i="1" a="1"/>
  <c r="N705" i="1"/>
  <c r="M705" i="1"/>
  <c r="O704" i="1" a="1"/>
  <c r="N704" i="1"/>
  <c r="M704" i="1"/>
  <c r="O703" i="1" a="1"/>
  <c r="N703" i="1"/>
  <c r="M703" i="1"/>
  <c r="O702" i="1" a="1"/>
  <c r="N702" i="1"/>
  <c r="M702" i="1"/>
  <c r="O701" i="1" a="1"/>
  <c r="N701" i="1"/>
  <c r="M701" i="1"/>
  <c r="O700" i="1" a="1"/>
  <c r="N700" i="1"/>
  <c r="M700" i="1"/>
  <c r="O699" i="1" a="1"/>
  <c r="N699" i="1"/>
  <c r="M699" i="1"/>
  <c r="O698" i="1" a="1"/>
  <c r="N698" i="1"/>
  <c r="M698" i="1"/>
  <c r="O697" i="1" a="1"/>
  <c r="N697" i="1"/>
  <c r="M697" i="1"/>
  <c r="O696" i="1" a="1"/>
  <c r="N696" i="1"/>
  <c r="M696" i="1"/>
  <c r="O695" i="1" a="1"/>
  <c r="N695" i="1"/>
  <c r="M695" i="1"/>
  <c r="O694" i="1" a="1"/>
  <c r="N694" i="1"/>
  <c r="M694" i="1"/>
  <c r="O693" i="1" a="1"/>
  <c r="N693" i="1"/>
  <c r="M693" i="1"/>
  <c r="O692" i="1" a="1"/>
  <c r="N692" i="1"/>
  <c r="M692" i="1"/>
  <c r="O691" i="1" a="1"/>
  <c r="N691" i="1"/>
  <c r="M691" i="1"/>
  <c r="O690" i="1" a="1"/>
  <c r="N690" i="1"/>
  <c r="M690" i="1"/>
  <c r="O689" i="1" a="1"/>
  <c r="N689" i="1"/>
  <c r="M689" i="1"/>
  <c r="O688" i="1" a="1"/>
  <c r="N688" i="1"/>
  <c r="M688" i="1"/>
  <c r="O687" i="1" a="1"/>
  <c r="N687" i="1"/>
  <c r="M687" i="1"/>
  <c r="O686" i="1" a="1"/>
  <c r="N686" i="1"/>
  <c r="M686" i="1"/>
  <c r="O685" i="1" a="1"/>
  <c r="N685" i="1"/>
  <c r="M685" i="1"/>
  <c r="O684" i="1" a="1"/>
  <c r="N684" i="1"/>
  <c r="M684" i="1"/>
  <c r="O683" i="1" a="1"/>
  <c r="N683" i="1"/>
  <c r="M683" i="1"/>
  <c r="O682" i="1" a="1"/>
  <c r="N682" i="1"/>
  <c r="M682" i="1"/>
  <c r="O681" i="1" a="1"/>
  <c r="N681" i="1"/>
  <c r="M681" i="1"/>
  <c r="O680" i="1" a="1"/>
  <c r="N680" i="1"/>
  <c r="M680" i="1"/>
  <c r="O679" i="1" a="1"/>
  <c r="N679" i="1"/>
  <c r="M679" i="1"/>
  <c r="O678" i="1" a="1"/>
  <c r="N678" i="1"/>
  <c r="M678" i="1"/>
  <c r="O677" i="1" a="1"/>
  <c r="N677" i="1"/>
  <c r="M677" i="1"/>
  <c r="O676" i="1" a="1"/>
  <c r="N676" i="1"/>
  <c r="M676" i="1"/>
  <c r="O675" i="1" a="1"/>
  <c r="N675" i="1"/>
  <c r="M675" i="1"/>
  <c r="O674" i="1" a="1"/>
  <c r="N674" i="1"/>
  <c r="M674" i="1"/>
  <c r="O673" i="1" a="1"/>
  <c r="N673" i="1"/>
  <c r="M673" i="1"/>
  <c r="O672" i="1" a="1"/>
  <c r="N672" i="1"/>
  <c r="M672" i="1"/>
  <c r="O671" i="1" a="1"/>
  <c r="N671" i="1"/>
  <c r="M671" i="1"/>
  <c r="O670" i="1" a="1"/>
  <c r="N670" i="1"/>
  <c r="M670" i="1"/>
  <c r="O669" i="1" a="1"/>
  <c r="N669" i="1"/>
  <c r="M669" i="1"/>
  <c r="O668" i="1" a="1"/>
  <c r="N668" i="1"/>
  <c r="M668" i="1"/>
  <c r="O667" i="1" a="1"/>
  <c r="N667" i="1"/>
  <c r="M667" i="1"/>
  <c r="O666" i="1" a="1"/>
  <c r="N666" i="1"/>
  <c r="M666" i="1"/>
  <c r="O665" i="1" a="1"/>
  <c r="N665" i="1"/>
  <c r="M665" i="1"/>
  <c r="O664" i="1" a="1"/>
  <c r="N664" i="1"/>
  <c r="M664" i="1"/>
  <c r="O663" i="1" a="1"/>
  <c r="N663" i="1"/>
  <c r="M663" i="1"/>
  <c r="O662" i="1" a="1"/>
  <c r="N662" i="1"/>
  <c r="M662" i="1"/>
  <c r="O661" i="1" a="1"/>
  <c r="N661" i="1"/>
  <c r="M661" i="1"/>
  <c r="O660" i="1" a="1"/>
  <c r="N660" i="1"/>
  <c r="M660" i="1"/>
  <c r="O659" i="1" a="1"/>
  <c r="N659" i="1"/>
  <c r="M659" i="1"/>
  <c r="O658" i="1" a="1"/>
  <c r="N658" i="1"/>
  <c r="M658" i="1"/>
  <c r="O657" i="1" a="1"/>
  <c r="N657" i="1"/>
  <c r="M657" i="1"/>
  <c r="O656" i="1" a="1"/>
  <c r="N656" i="1"/>
  <c r="M656" i="1"/>
  <c r="O655" i="1" a="1"/>
  <c r="N655" i="1"/>
  <c r="M655" i="1"/>
  <c r="O654" i="1" a="1"/>
  <c r="N654" i="1"/>
  <c r="M654" i="1"/>
  <c r="O653" i="1" a="1"/>
  <c r="N653" i="1"/>
  <c r="M653" i="1"/>
  <c r="O652" i="1" a="1"/>
  <c r="N652" i="1"/>
  <c r="M652" i="1"/>
  <c r="O651" i="1" a="1"/>
  <c r="N651" i="1"/>
  <c r="M651" i="1"/>
  <c r="O650" i="1" a="1"/>
  <c r="N650" i="1"/>
  <c r="M650" i="1"/>
  <c r="O649" i="1" a="1"/>
  <c r="N649" i="1"/>
  <c r="M649" i="1"/>
  <c r="O648" i="1" a="1"/>
  <c r="N648" i="1"/>
  <c r="M648" i="1"/>
  <c r="O647" i="1" a="1"/>
  <c r="N647" i="1"/>
  <c r="M647" i="1"/>
  <c r="O646" i="1" a="1"/>
  <c r="N646" i="1"/>
  <c r="M646" i="1"/>
  <c r="O645" i="1" a="1"/>
  <c r="N645" i="1"/>
  <c r="M645" i="1"/>
  <c r="O644" i="1" a="1"/>
  <c r="N644" i="1"/>
  <c r="M644" i="1"/>
  <c r="O643" i="1" a="1"/>
  <c r="N643" i="1"/>
  <c r="M643" i="1"/>
  <c r="O642" i="1" a="1"/>
  <c r="N642" i="1"/>
  <c r="M642" i="1"/>
  <c r="O641" i="1" a="1"/>
  <c r="N641" i="1"/>
  <c r="M641" i="1"/>
  <c r="O640" i="1" a="1"/>
  <c r="N640" i="1"/>
  <c r="M640" i="1"/>
  <c r="O639" i="1" a="1"/>
  <c r="N639" i="1"/>
  <c r="M639" i="1"/>
  <c r="O638" i="1" a="1"/>
  <c r="N638" i="1"/>
  <c r="M638" i="1"/>
  <c r="O637" i="1" a="1"/>
  <c r="N637" i="1"/>
  <c r="M637" i="1"/>
  <c r="O636" i="1" a="1"/>
  <c r="N636" i="1"/>
  <c r="M636" i="1"/>
  <c r="O635" i="1" a="1"/>
  <c r="N635" i="1"/>
  <c r="M635" i="1"/>
  <c r="O634" i="1" a="1"/>
  <c r="N634" i="1"/>
  <c r="M634" i="1"/>
  <c r="O633" i="1" a="1"/>
  <c r="N633" i="1"/>
  <c r="M633" i="1"/>
  <c r="O632" i="1" a="1"/>
  <c r="N632" i="1"/>
  <c r="M632" i="1"/>
  <c r="O631" i="1" a="1"/>
  <c r="N631" i="1"/>
  <c r="M631" i="1"/>
  <c r="O630" i="1" a="1"/>
  <c r="N630" i="1"/>
  <c r="M630" i="1"/>
  <c r="O629" i="1" a="1"/>
  <c r="N629" i="1"/>
  <c r="M629" i="1"/>
  <c r="O628" i="1" a="1"/>
  <c r="N628" i="1"/>
  <c r="M628" i="1"/>
  <c r="O627" i="1" a="1"/>
  <c r="N627" i="1"/>
  <c r="M627" i="1"/>
  <c r="O626" i="1" a="1"/>
  <c r="N626" i="1"/>
  <c r="M626" i="1"/>
  <c r="O625" i="1" a="1"/>
  <c r="N625" i="1"/>
  <c r="M625" i="1"/>
  <c r="O624" i="1" a="1"/>
  <c r="N624" i="1"/>
  <c r="M624" i="1"/>
  <c r="O623" i="1" a="1"/>
  <c r="N623" i="1"/>
  <c r="M623" i="1"/>
  <c r="O622" i="1" a="1"/>
  <c r="N622" i="1"/>
  <c r="M622" i="1"/>
  <c r="O621" i="1" a="1"/>
  <c r="N621" i="1"/>
  <c r="M621" i="1"/>
  <c r="O620" i="1" a="1"/>
  <c r="N620" i="1"/>
  <c r="M620" i="1"/>
  <c r="O619" i="1" a="1"/>
  <c r="N619" i="1"/>
  <c r="M619" i="1"/>
  <c r="O618" i="1" a="1"/>
  <c r="N618" i="1"/>
  <c r="M618" i="1"/>
  <c r="O617" i="1" a="1"/>
  <c r="N617" i="1"/>
  <c r="M617" i="1"/>
  <c r="O616" i="1" a="1"/>
  <c r="N616" i="1"/>
  <c r="M616" i="1"/>
  <c r="O615" i="1" a="1"/>
  <c r="N615" i="1"/>
  <c r="M615" i="1"/>
  <c r="O614" i="1" a="1"/>
  <c r="N614" i="1"/>
  <c r="M614" i="1"/>
  <c r="O613" i="1" a="1"/>
  <c r="N613" i="1"/>
  <c r="M613" i="1"/>
  <c r="O612" i="1" a="1"/>
  <c r="N612" i="1"/>
  <c r="M612" i="1"/>
  <c r="O611" i="1" a="1"/>
  <c r="N611" i="1"/>
  <c r="M611" i="1"/>
  <c r="O610" i="1" a="1"/>
  <c r="N610" i="1"/>
  <c r="M610" i="1"/>
  <c r="O609" i="1" a="1"/>
  <c r="N609" i="1"/>
  <c r="M609" i="1"/>
  <c r="O608" i="1" a="1"/>
  <c r="N608" i="1"/>
  <c r="M608" i="1"/>
  <c r="O607" i="1" a="1"/>
  <c r="N607" i="1"/>
  <c r="M607" i="1"/>
  <c r="O606" i="1" a="1"/>
  <c r="N606" i="1"/>
  <c r="M606" i="1"/>
  <c r="O605" i="1" a="1"/>
  <c r="N605" i="1"/>
  <c r="M605" i="1"/>
  <c r="O604" i="1" a="1"/>
  <c r="N604" i="1"/>
  <c r="M604" i="1"/>
  <c r="O603" i="1" a="1"/>
  <c r="N603" i="1"/>
  <c r="M603" i="1"/>
  <c r="O602" i="1" a="1"/>
  <c r="N602" i="1"/>
  <c r="M602" i="1"/>
  <c r="O601" i="1" a="1"/>
  <c r="N601" i="1"/>
  <c r="M601" i="1"/>
  <c r="O600" i="1" a="1"/>
  <c r="N600" i="1"/>
  <c r="M600" i="1"/>
  <c r="O599" i="1" a="1"/>
  <c r="N599" i="1"/>
  <c r="M599" i="1"/>
  <c r="O598" i="1" a="1"/>
  <c r="N598" i="1"/>
  <c r="M598" i="1"/>
  <c r="O597" i="1" a="1"/>
  <c r="N597" i="1"/>
  <c r="M597" i="1"/>
  <c r="O596" i="1" a="1"/>
  <c r="N596" i="1"/>
  <c r="M596" i="1"/>
  <c r="O595" i="1" a="1"/>
  <c r="N595" i="1"/>
  <c r="M595" i="1"/>
  <c r="O594" i="1" a="1"/>
  <c r="N594" i="1"/>
  <c r="M594" i="1"/>
  <c r="O593" i="1" a="1"/>
  <c r="N593" i="1"/>
  <c r="M593" i="1"/>
  <c r="O592" i="1" a="1"/>
  <c r="N592" i="1"/>
  <c r="M592" i="1"/>
  <c r="O591" i="1" a="1"/>
  <c r="N591" i="1"/>
  <c r="M591" i="1"/>
  <c r="O590" i="1" a="1"/>
  <c r="N590" i="1"/>
  <c r="M590" i="1"/>
  <c r="O589" i="1" a="1"/>
  <c r="N589" i="1"/>
  <c r="M589" i="1"/>
  <c r="O588" i="1" a="1"/>
  <c r="N588" i="1"/>
  <c r="M588" i="1"/>
  <c r="O587" i="1" a="1"/>
  <c r="N587" i="1"/>
  <c r="M587" i="1"/>
  <c r="O586" i="1" a="1"/>
  <c r="N586" i="1"/>
  <c r="M586" i="1"/>
  <c r="O585" i="1" a="1"/>
  <c r="N585" i="1"/>
  <c r="M585" i="1"/>
  <c r="O584" i="1" a="1"/>
  <c r="N584" i="1"/>
  <c r="M584" i="1"/>
  <c r="O583" i="1" a="1"/>
  <c r="N583" i="1"/>
  <c r="M583" i="1"/>
  <c r="O582" i="1" a="1"/>
  <c r="N582" i="1"/>
  <c r="M582" i="1"/>
  <c r="O581" i="1" a="1"/>
  <c r="N581" i="1"/>
  <c r="M581" i="1"/>
  <c r="O580" i="1" a="1"/>
  <c r="N580" i="1"/>
  <c r="M580" i="1"/>
  <c r="O579" i="1" a="1"/>
  <c r="N579" i="1"/>
  <c r="M579" i="1"/>
  <c r="O578" i="1" a="1"/>
  <c r="N578" i="1"/>
  <c r="M578" i="1"/>
  <c r="O577" i="1" a="1"/>
  <c r="N577" i="1"/>
  <c r="M577" i="1"/>
  <c r="O576" i="1" a="1"/>
  <c r="N576" i="1"/>
  <c r="M576" i="1"/>
  <c r="O575" i="1" a="1"/>
  <c r="N575" i="1"/>
  <c r="M575" i="1"/>
  <c r="O574" i="1" a="1"/>
  <c r="N574" i="1"/>
  <c r="M574" i="1"/>
  <c r="O573" i="1" a="1"/>
  <c r="N573" i="1"/>
  <c r="M573" i="1"/>
  <c r="O572" i="1" a="1"/>
  <c r="N572" i="1"/>
  <c r="M572" i="1"/>
  <c r="O571" i="1" a="1"/>
  <c r="N571" i="1"/>
  <c r="M571" i="1"/>
  <c r="O570" i="1" a="1"/>
  <c r="N570" i="1"/>
  <c r="M570" i="1"/>
  <c r="O569" i="1" a="1"/>
  <c r="N569" i="1"/>
  <c r="M569" i="1"/>
  <c r="O568" i="1" a="1"/>
  <c r="N568" i="1"/>
  <c r="M568" i="1"/>
  <c r="O567" i="1" a="1"/>
  <c r="N567" i="1"/>
  <c r="M567" i="1"/>
  <c r="O566" i="1" a="1"/>
  <c r="N566" i="1"/>
  <c r="M566" i="1"/>
  <c r="O565" i="1" a="1"/>
  <c r="N565" i="1"/>
  <c r="M565" i="1"/>
  <c r="O564" i="1" a="1"/>
  <c r="N564" i="1"/>
  <c r="M564" i="1"/>
  <c r="O563" i="1" a="1"/>
  <c r="N563" i="1"/>
  <c r="M563" i="1"/>
  <c r="O562" i="1" a="1"/>
  <c r="N562" i="1"/>
  <c r="M562" i="1"/>
  <c r="O561" i="1" a="1"/>
  <c r="N561" i="1"/>
  <c r="M561" i="1"/>
  <c r="O560" i="1" a="1"/>
  <c r="N560" i="1"/>
  <c r="M560" i="1"/>
  <c r="O559" i="1" a="1"/>
  <c r="N559" i="1"/>
  <c r="M559" i="1"/>
  <c r="O558" i="1" a="1"/>
  <c r="N558" i="1"/>
  <c r="M558" i="1"/>
  <c r="O557" i="1" a="1"/>
  <c r="N557" i="1"/>
  <c r="M557" i="1"/>
  <c r="O556" i="1" a="1"/>
  <c r="N556" i="1"/>
  <c r="M556" i="1"/>
  <c r="O555" i="1" a="1"/>
  <c r="N555" i="1"/>
  <c r="M555" i="1"/>
  <c r="O554" i="1" a="1"/>
  <c r="N554" i="1"/>
  <c r="M554" i="1"/>
  <c r="O553" i="1" a="1"/>
  <c r="N553" i="1"/>
  <c r="M553" i="1"/>
  <c r="O552" i="1" a="1"/>
  <c r="N552" i="1"/>
  <c r="M552" i="1"/>
  <c r="O551" i="1" a="1"/>
  <c r="N551" i="1"/>
  <c r="M551" i="1"/>
  <c r="O550" i="1" a="1"/>
  <c r="N550" i="1"/>
  <c r="M550" i="1"/>
  <c r="O549" i="1" a="1"/>
  <c r="N549" i="1"/>
  <c r="M549" i="1"/>
  <c r="O548" i="1" a="1"/>
  <c r="N548" i="1"/>
  <c r="M548" i="1"/>
  <c r="O547" i="1" a="1"/>
  <c r="N547" i="1"/>
  <c r="M547" i="1"/>
  <c r="O546" i="1" a="1"/>
  <c r="N546" i="1"/>
  <c r="M546" i="1"/>
  <c r="O545" i="1" a="1"/>
  <c r="N545" i="1"/>
  <c r="M545" i="1"/>
  <c r="O544" i="1" a="1"/>
  <c r="N544" i="1"/>
  <c r="M544" i="1"/>
  <c r="O543" i="1" a="1"/>
  <c r="N543" i="1"/>
  <c r="M543" i="1"/>
  <c r="O542" i="1" a="1"/>
  <c r="N542" i="1"/>
  <c r="M542" i="1"/>
  <c r="O541" i="1" a="1"/>
  <c r="N541" i="1"/>
  <c r="M541" i="1"/>
  <c r="O540" i="1" a="1"/>
  <c r="N540" i="1"/>
  <c r="M540" i="1"/>
  <c r="O539" i="1" a="1"/>
  <c r="N539" i="1"/>
  <c r="M539" i="1"/>
  <c r="O538" i="1" a="1"/>
  <c r="N538" i="1"/>
  <c r="M538" i="1"/>
  <c r="O537" i="1" a="1"/>
  <c r="N537" i="1"/>
  <c r="M537" i="1"/>
  <c r="O536" i="1" a="1"/>
  <c r="N536" i="1"/>
  <c r="M536" i="1"/>
  <c r="O535" i="1" a="1"/>
  <c r="N535" i="1"/>
  <c r="M535" i="1"/>
  <c r="O534" i="1" a="1"/>
  <c r="N534" i="1"/>
  <c r="M534" i="1"/>
  <c r="O533" i="1" a="1"/>
  <c r="N533" i="1"/>
  <c r="M533" i="1"/>
  <c r="O532" i="1" a="1"/>
  <c r="N532" i="1"/>
  <c r="M532" i="1"/>
  <c r="O531" i="1" a="1"/>
  <c r="N531" i="1"/>
  <c r="M531" i="1"/>
  <c r="O530" i="1" a="1"/>
  <c r="N530" i="1"/>
  <c r="M530" i="1"/>
  <c r="O529" i="1" a="1"/>
  <c r="N529" i="1"/>
  <c r="M529" i="1"/>
  <c r="O528" i="1" a="1"/>
  <c r="N528" i="1"/>
  <c r="M528" i="1"/>
  <c r="O527" i="1" a="1"/>
  <c r="N527" i="1"/>
  <c r="M527" i="1"/>
  <c r="O526" i="1" a="1"/>
  <c r="N526" i="1"/>
  <c r="M526" i="1"/>
  <c r="O525" i="1" a="1"/>
  <c r="N525" i="1"/>
  <c r="M525" i="1"/>
  <c r="O524" i="1" a="1"/>
  <c r="N524" i="1"/>
  <c r="M524" i="1"/>
  <c r="O523" i="1" a="1"/>
  <c r="N523" i="1"/>
  <c r="M523" i="1"/>
  <c r="O522" i="1" a="1"/>
  <c r="N522" i="1"/>
  <c r="M522" i="1"/>
  <c r="O521" i="1" a="1"/>
  <c r="N521" i="1"/>
  <c r="M521" i="1"/>
  <c r="O520" i="1" a="1"/>
  <c r="N520" i="1"/>
  <c r="M520" i="1"/>
  <c r="O519" i="1" a="1"/>
  <c r="N519" i="1"/>
  <c r="M519" i="1"/>
  <c r="O518" i="1" a="1"/>
  <c r="N518" i="1"/>
  <c r="M518" i="1"/>
  <c r="O517" i="1" a="1"/>
  <c r="N517" i="1"/>
  <c r="M517" i="1"/>
  <c r="O516" i="1" a="1"/>
  <c r="N516" i="1"/>
  <c r="M516" i="1"/>
  <c r="O515" i="1" a="1"/>
  <c r="N515" i="1"/>
  <c r="M515" i="1"/>
  <c r="O514" i="1" a="1"/>
  <c r="N514" i="1"/>
  <c r="M514" i="1"/>
  <c r="O513" i="1" a="1"/>
  <c r="N513" i="1"/>
  <c r="M513" i="1"/>
  <c r="O512" i="1" a="1"/>
  <c r="N512" i="1"/>
  <c r="M512" i="1"/>
  <c r="O511" i="1" a="1"/>
  <c r="N511" i="1"/>
  <c r="M511" i="1"/>
  <c r="O510" i="1" a="1"/>
  <c r="N510" i="1"/>
  <c r="M510" i="1"/>
  <c r="O509" i="1" a="1"/>
  <c r="N509" i="1"/>
  <c r="M509" i="1"/>
  <c r="O508" i="1" a="1"/>
  <c r="N508" i="1"/>
  <c r="M508" i="1"/>
  <c r="O507" i="1" a="1"/>
  <c r="N507" i="1"/>
  <c r="M507" i="1"/>
  <c r="O506" i="1" a="1"/>
  <c r="N506" i="1"/>
  <c r="M506" i="1"/>
  <c r="O505" i="1" a="1"/>
  <c r="N505" i="1"/>
  <c r="M505" i="1"/>
  <c r="O504" i="1" a="1"/>
  <c r="N504" i="1"/>
  <c r="M504" i="1"/>
  <c r="O503" i="1" a="1"/>
  <c r="N503" i="1"/>
  <c r="M503" i="1"/>
  <c r="O502" i="1" a="1"/>
  <c r="N502" i="1"/>
  <c r="M502" i="1"/>
  <c r="O501" i="1" a="1"/>
  <c r="N501" i="1"/>
  <c r="M501" i="1"/>
  <c r="O500" i="1" a="1"/>
  <c r="N500" i="1"/>
  <c r="M500" i="1"/>
  <c r="O499" i="1" a="1"/>
  <c r="N499" i="1"/>
  <c r="M499" i="1"/>
  <c r="O498" i="1" a="1"/>
  <c r="N498" i="1"/>
  <c r="M498" i="1"/>
  <c r="O497" i="1" a="1"/>
  <c r="N497" i="1"/>
  <c r="M497" i="1"/>
  <c r="O496" i="1" a="1"/>
  <c r="N496" i="1"/>
  <c r="M496" i="1"/>
  <c r="O495" i="1" a="1"/>
  <c r="N495" i="1"/>
  <c r="M495" i="1"/>
  <c r="O494" i="1" a="1"/>
  <c r="N494" i="1"/>
  <c r="M494" i="1"/>
  <c r="O493" i="1" a="1"/>
  <c r="N493" i="1"/>
  <c r="M493" i="1"/>
  <c r="O492" i="1" a="1"/>
  <c r="N492" i="1"/>
  <c r="M492" i="1"/>
  <c r="O491" i="1" a="1"/>
  <c r="N491" i="1"/>
  <c r="M491" i="1"/>
  <c r="O490" i="1" a="1"/>
  <c r="N490" i="1"/>
  <c r="M490" i="1"/>
  <c r="O489" i="1" a="1"/>
  <c r="N489" i="1"/>
  <c r="M489" i="1"/>
  <c r="O488" i="1" a="1"/>
  <c r="N488" i="1"/>
  <c r="M488" i="1"/>
  <c r="O487" i="1" a="1"/>
  <c r="N487" i="1"/>
  <c r="M487" i="1"/>
  <c r="O486" i="1" a="1"/>
  <c r="N486" i="1"/>
  <c r="M486" i="1"/>
  <c r="O485" i="1" a="1"/>
  <c r="N485" i="1"/>
  <c r="M485" i="1"/>
  <c r="O484" i="1" a="1"/>
  <c r="N484" i="1"/>
  <c r="M484" i="1"/>
  <c r="O483" i="1" a="1"/>
  <c r="N483" i="1"/>
  <c r="M483" i="1"/>
  <c r="O482" i="1" a="1"/>
  <c r="N482" i="1"/>
  <c r="M482" i="1"/>
  <c r="O481" i="1" a="1"/>
  <c r="N481" i="1"/>
  <c r="M481" i="1"/>
  <c r="O480" i="1" a="1"/>
  <c r="N480" i="1"/>
  <c r="M480" i="1"/>
  <c r="O479" i="1" a="1"/>
  <c r="N479" i="1"/>
  <c r="M479" i="1"/>
  <c r="O478" i="1" a="1"/>
  <c r="N478" i="1"/>
  <c r="M478" i="1"/>
  <c r="O477" i="1" a="1"/>
  <c r="N477" i="1"/>
  <c r="M477" i="1"/>
  <c r="O476" i="1" a="1"/>
  <c r="N476" i="1"/>
  <c r="M476" i="1"/>
  <c r="O475" i="1" a="1"/>
  <c r="N475" i="1"/>
  <c r="M475" i="1"/>
  <c r="O474" i="1" a="1"/>
  <c r="N474" i="1"/>
  <c r="M474" i="1"/>
  <c r="O473" i="1" a="1"/>
  <c r="N473" i="1"/>
  <c r="M473" i="1"/>
  <c r="O472" i="1" a="1"/>
  <c r="N472" i="1"/>
  <c r="M472" i="1"/>
  <c r="O471" i="1" a="1"/>
  <c r="N471" i="1"/>
  <c r="M471" i="1"/>
  <c r="O470" i="1" a="1"/>
  <c r="N470" i="1"/>
  <c r="M470" i="1"/>
  <c r="O469" i="1" a="1"/>
  <c r="N469" i="1"/>
  <c r="M469" i="1"/>
  <c r="O468" i="1" a="1"/>
  <c r="N468" i="1"/>
  <c r="M468" i="1"/>
  <c r="O467" i="1" a="1"/>
  <c r="N467" i="1"/>
  <c r="M467" i="1"/>
  <c r="O466" i="1" a="1"/>
  <c r="N466" i="1"/>
  <c r="M466" i="1"/>
  <c r="O465" i="1" a="1"/>
  <c r="N465" i="1"/>
  <c r="M465" i="1"/>
  <c r="O464" i="1" a="1"/>
  <c r="N464" i="1"/>
  <c r="M464" i="1"/>
  <c r="O463" i="1" a="1"/>
  <c r="N463" i="1"/>
  <c r="M463" i="1"/>
  <c r="O462" i="1" a="1"/>
  <c r="N462" i="1"/>
  <c r="M462" i="1"/>
  <c r="O461" i="1" a="1"/>
  <c r="N461" i="1"/>
  <c r="M461" i="1"/>
  <c r="O460" i="1" a="1"/>
  <c r="N460" i="1"/>
  <c r="M460" i="1"/>
  <c r="O459" i="1" a="1"/>
  <c r="N459" i="1"/>
  <c r="M459" i="1"/>
  <c r="O458" i="1" a="1"/>
  <c r="N458" i="1"/>
  <c r="M458" i="1"/>
  <c r="O457" i="1" a="1"/>
  <c r="N457" i="1"/>
  <c r="M457" i="1"/>
  <c r="O456" i="1" a="1"/>
  <c r="N456" i="1"/>
  <c r="M456" i="1"/>
  <c r="O455" i="1" a="1"/>
  <c r="N455" i="1"/>
  <c r="M455" i="1"/>
  <c r="O454" i="1" a="1"/>
  <c r="N454" i="1"/>
  <c r="M454" i="1"/>
  <c r="O453" i="1" a="1"/>
  <c r="N453" i="1"/>
  <c r="M453" i="1"/>
  <c r="O452" i="1" a="1"/>
  <c r="N452" i="1"/>
  <c r="M452" i="1"/>
  <c r="O451" i="1" a="1"/>
  <c r="N451" i="1"/>
  <c r="M451" i="1"/>
  <c r="O450" i="1" a="1"/>
  <c r="N450" i="1"/>
  <c r="M450" i="1"/>
  <c r="O449" i="1" a="1"/>
  <c r="N449" i="1"/>
  <c r="M449" i="1"/>
  <c r="O448" i="1" a="1"/>
  <c r="N448" i="1"/>
  <c r="M448" i="1"/>
  <c r="O447" i="1" a="1"/>
  <c r="N447" i="1"/>
  <c r="M447" i="1"/>
  <c r="O446" i="1" a="1"/>
  <c r="N446" i="1"/>
  <c r="M446" i="1"/>
  <c r="O445" i="1" a="1"/>
  <c r="N445" i="1"/>
  <c r="M445" i="1"/>
  <c r="O444" i="1" a="1"/>
  <c r="N444" i="1"/>
  <c r="M444" i="1"/>
  <c r="O443" i="1" a="1"/>
  <c r="N443" i="1"/>
  <c r="M443" i="1"/>
  <c r="O442" i="1" a="1"/>
  <c r="N442" i="1"/>
  <c r="M442" i="1"/>
  <c r="O441" i="1" a="1"/>
  <c r="N441" i="1"/>
  <c r="M441" i="1"/>
  <c r="O440" i="1" a="1"/>
  <c r="N440" i="1"/>
  <c r="M440" i="1"/>
  <c r="O439" i="1" a="1"/>
  <c r="N439" i="1"/>
  <c r="M439" i="1"/>
  <c r="O438" i="1" a="1"/>
  <c r="N438" i="1"/>
  <c r="M438" i="1"/>
  <c r="O437" i="1" a="1"/>
  <c r="N437" i="1"/>
  <c r="M437" i="1"/>
  <c r="O436" i="1" a="1"/>
  <c r="N436" i="1"/>
  <c r="M436" i="1"/>
  <c r="O435" i="1" a="1"/>
  <c r="N435" i="1"/>
  <c r="M435" i="1"/>
  <c r="O434" i="1" a="1"/>
  <c r="N434" i="1"/>
  <c r="M434" i="1"/>
  <c r="O433" i="1" a="1"/>
  <c r="N433" i="1"/>
  <c r="M433" i="1"/>
  <c r="O432" i="1" a="1"/>
  <c r="N432" i="1"/>
  <c r="M432" i="1"/>
  <c r="O431" i="1" a="1"/>
  <c r="N431" i="1"/>
  <c r="M431" i="1"/>
  <c r="O430" i="1" a="1"/>
  <c r="N430" i="1"/>
  <c r="M430" i="1"/>
  <c r="O429" i="1" a="1"/>
  <c r="N429" i="1"/>
  <c r="M429" i="1"/>
  <c r="O428" i="1" a="1"/>
  <c r="N428" i="1"/>
  <c r="M428" i="1"/>
  <c r="O427" i="1" a="1"/>
  <c r="N427" i="1"/>
  <c r="M427" i="1"/>
  <c r="O426" i="1" a="1"/>
  <c r="N426" i="1"/>
  <c r="M426" i="1"/>
  <c r="O425" i="1" a="1"/>
  <c r="N425" i="1"/>
  <c r="M425" i="1"/>
  <c r="O424" i="1" a="1"/>
  <c r="N424" i="1"/>
  <c r="M424" i="1"/>
  <c r="O423" i="1" a="1"/>
  <c r="N423" i="1"/>
  <c r="M423" i="1"/>
  <c r="O422" i="1" a="1"/>
  <c r="N422" i="1"/>
  <c r="M422" i="1"/>
  <c r="O421" i="1" a="1"/>
  <c r="N421" i="1"/>
  <c r="M421" i="1"/>
  <c r="O420" i="1" a="1"/>
  <c r="N420" i="1"/>
  <c r="M420" i="1"/>
  <c r="O419" i="1" a="1"/>
  <c r="N419" i="1"/>
  <c r="M419" i="1"/>
  <c r="O418" i="1" a="1"/>
  <c r="N418" i="1"/>
  <c r="M418" i="1"/>
  <c r="O417" i="1" a="1"/>
  <c r="N417" i="1"/>
  <c r="M417" i="1"/>
  <c r="O416" i="1" a="1"/>
  <c r="N416" i="1"/>
  <c r="M416" i="1"/>
  <c r="O415" i="1" a="1"/>
  <c r="N415" i="1"/>
  <c r="M415" i="1"/>
  <c r="O414" i="1" a="1"/>
  <c r="N414" i="1"/>
  <c r="M414" i="1"/>
  <c r="O413" i="1" a="1"/>
  <c r="N413" i="1"/>
  <c r="M413" i="1"/>
  <c r="O412" i="1" a="1"/>
  <c r="N412" i="1"/>
  <c r="M412" i="1"/>
  <c r="O411" i="1" a="1"/>
  <c r="N411" i="1"/>
  <c r="M411" i="1"/>
  <c r="O410" i="1" a="1"/>
  <c r="N410" i="1"/>
  <c r="M410" i="1"/>
  <c r="O409" i="1" a="1"/>
  <c r="N409" i="1"/>
  <c r="M409" i="1"/>
  <c r="O408" i="1" a="1"/>
  <c r="N408" i="1"/>
  <c r="M408" i="1"/>
  <c r="O407" i="1" a="1"/>
  <c r="N407" i="1"/>
  <c r="M407" i="1"/>
  <c r="O406" i="1" a="1"/>
  <c r="N406" i="1"/>
  <c r="M406" i="1"/>
  <c r="O405" i="1" a="1"/>
  <c r="N405" i="1"/>
  <c r="M405" i="1"/>
  <c r="O404" i="1" a="1"/>
  <c r="N404" i="1"/>
  <c r="M404" i="1"/>
  <c r="O403" i="1" a="1"/>
  <c r="N403" i="1"/>
  <c r="M403" i="1"/>
  <c r="O402" i="1" a="1"/>
  <c r="N402" i="1"/>
  <c r="M402" i="1"/>
  <c r="O401" i="1" a="1"/>
  <c r="N401" i="1"/>
  <c r="M401" i="1"/>
  <c r="O400" i="1" a="1"/>
  <c r="N400" i="1"/>
  <c r="M400" i="1"/>
  <c r="O399" i="1" a="1"/>
  <c r="N399" i="1"/>
  <c r="M399" i="1"/>
  <c r="O398" i="1" a="1"/>
  <c r="N398" i="1"/>
  <c r="M398" i="1"/>
  <c r="O397" i="1" a="1"/>
  <c r="N397" i="1"/>
  <c r="M397" i="1"/>
  <c r="O396" i="1" a="1"/>
  <c r="N396" i="1"/>
  <c r="M396" i="1"/>
  <c r="O395" i="1" a="1"/>
  <c r="N395" i="1"/>
  <c r="M395" i="1"/>
  <c r="O394" i="1" a="1"/>
  <c r="N394" i="1"/>
  <c r="M394" i="1"/>
  <c r="O393" i="1" a="1"/>
  <c r="N393" i="1"/>
  <c r="M393" i="1"/>
  <c r="O392" i="1" a="1"/>
  <c r="N392" i="1"/>
  <c r="M392" i="1"/>
  <c r="O391" i="1" a="1"/>
  <c r="N391" i="1"/>
  <c r="M391" i="1"/>
  <c r="O390" i="1" a="1"/>
  <c r="N390" i="1"/>
  <c r="M390" i="1"/>
  <c r="O389" i="1" a="1"/>
  <c r="N389" i="1"/>
  <c r="M389" i="1"/>
  <c r="O388" i="1" a="1"/>
  <c r="N388" i="1"/>
  <c r="M388" i="1"/>
  <c r="O387" i="1" a="1"/>
  <c r="N387" i="1"/>
  <c r="M387" i="1"/>
  <c r="O386" i="1" a="1"/>
  <c r="N386" i="1"/>
  <c r="M386" i="1"/>
  <c r="O385" i="1" a="1"/>
  <c r="N385" i="1"/>
  <c r="M385" i="1"/>
  <c r="O384" i="1" a="1"/>
  <c r="N384" i="1"/>
  <c r="M384" i="1"/>
  <c r="O383" i="1" a="1"/>
  <c r="N383" i="1"/>
  <c r="M383" i="1"/>
  <c r="O382" i="1" a="1"/>
  <c r="N382" i="1"/>
  <c r="M382" i="1"/>
  <c r="O381" i="1" a="1"/>
  <c r="N381" i="1"/>
  <c r="M381" i="1"/>
  <c r="O380" i="1" a="1"/>
  <c r="N380" i="1"/>
  <c r="M380" i="1"/>
  <c r="O379" i="1" a="1"/>
  <c r="N379" i="1"/>
  <c r="M379" i="1"/>
  <c r="O378" i="1" a="1"/>
  <c r="N378" i="1"/>
  <c r="M378" i="1"/>
  <c r="O377" i="1" a="1"/>
  <c r="N377" i="1"/>
  <c r="M377" i="1"/>
  <c r="O376" i="1" a="1"/>
  <c r="N376" i="1"/>
  <c r="M376" i="1"/>
  <c r="O375" i="1" a="1"/>
  <c r="N375" i="1"/>
  <c r="M375" i="1"/>
  <c r="O374" i="1" a="1"/>
  <c r="N374" i="1"/>
  <c r="M374" i="1"/>
  <c r="O373" i="1" a="1"/>
  <c r="N373" i="1"/>
  <c r="M373" i="1"/>
  <c r="O372" i="1" a="1"/>
  <c r="N372" i="1"/>
  <c r="M372" i="1"/>
  <c r="O371" i="1" a="1"/>
  <c r="N371" i="1"/>
  <c r="M371" i="1"/>
  <c r="O370" i="1" a="1"/>
  <c r="N370" i="1"/>
  <c r="M370" i="1"/>
  <c r="O369" i="1" a="1"/>
  <c r="N369" i="1"/>
  <c r="M369" i="1"/>
  <c r="O368" i="1" a="1"/>
  <c r="N368" i="1"/>
  <c r="M368" i="1"/>
  <c r="O367" i="1" a="1"/>
  <c r="N367" i="1"/>
  <c r="M367" i="1"/>
  <c r="O366" i="1" a="1"/>
  <c r="N366" i="1"/>
  <c r="M366" i="1"/>
  <c r="O365" i="1" a="1"/>
  <c r="N365" i="1"/>
  <c r="M365" i="1"/>
  <c r="O364" i="1" a="1"/>
  <c r="N364" i="1"/>
  <c r="M364" i="1"/>
  <c r="O363" i="1" a="1"/>
  <c r="N363" i="1"/>
  <c r="M363" i="1"/>
  <c r="O362" i="1" a="1"/>
  <c r="N362" i="1"/>
  <c r="M362" i="1"/>
  <c r="O361" i="1" a="1"/>
  <c r="N361" i="1"/>
  <c r="M361" i="1"/>
  <c r="O360" i="1" a="1"/>
  <c r="N360" i="1"/>
  <c r="M360" i="1"/>
  <c r="O359" i="1" a="1"/>
  <c r="N359" i="1"/>
  <c r="M359" i="1"/>
  <c r="O358" i="1" a="1"/>
  <c r="N358" i="1"/>
  <c r="M358" i="1"/>
  <c r="O357" i="1" a="1"/>
  <c r="N357" i="1"/>
  <c r="M357" i="1"/>
  <c r="O356" i="1" a="1"/>
  <c r="N356" i="1"/>
  <c r="M356" i="1"/>
  <c r="O355" i="1" a="1"/>
  <c r="N355" i="1"/>
  <c r="M355" i="1"/>
  <c r="O354" i="1" a="1"/>
  <c r="N354" i="1"/>
  <c r="M354" i="1"/>
  <c r="O353" i="1" a="1"/>
  <c r="N353" i="1"/>
  <c r="M353" i="1"/>
  <c r="O352" i="1" a="1"/>
  <c r="N352" i="1"/>
  <c r="M352" i="1"/>
  <c r="O351" i="1" a="1"/>
  <c r="N351" i="1"/>
  <c r="M351" i="1"/>
  <c r="O350" i="1" a="1"/>
  <c r="N350" i="1"/>
  <c r="M350" i="1"/>
  <c r="O349" i="1" a="1"/>
  <c r="N349" i="1"/>
  <c r="M349" i="1"/>
  <c r="O348" i="1" a="1"/>
  <c r="N348" i="1"/>
  <c r="M348" i="1"/>
  <c r="O347" i="1" a="1"/>
  <c r="N347" i="1"/>
  <c r="M347" i="1"/>
  <c r="O346" i="1" a="1"/>
  <c r="N346" i="1"/>
  <c r="M346" i="1"/>
  <c r="O345" i="1" a="1"/>
  <c r="N345" i="1"/>
  <c r="M345" i="1"/>
  <c r="O344" i="1" a="1"/>
  <c r="N344" i="1"/>
  <c r="M344" i="1"/>
  <c r="O343" i="1" a="1"/>
  <c r="N343" i="1"/>
  <c r="M343" i="1"/>
  <c r="O342" i="1" a="1"/>
  <c r="N342" i="1"/>
  <c r="M342" i="1"/>
  <c r="O341" i="1" a="1"/>
  <c r="N341" i="1"/>
  <c r="M341" i="1"/>
  <c r="O340" i="1" a="1"/>
  <c r="N340" i="1"/>
  <c r="M340" i="1"/>
  <c r="O339" i="1" a="1"/>
  <c r="N339" i="1"/>
  <c r="M339" i="1"/>
  <c r="O338" i="1" a="1"/>
  <c r="N338" i="1"/>
  <c r="M338" i="1"/>
  <c r="O337" i="1" a="1"/>
  <c r="N337" i="1"/>
  <c r="M337" i="1"/>
  <c r="O336" i="1" a="1"/>
  <c r="N336" i="1"/>
  <c r="M336" i="1"/>
  <c r="O335" i="1" a="1"/>
  <c r="N335" i="1"/>
  <c r="M335" i="1"/>
  <c r="O334" i="1" a="1"/>
  <c r="N334" i="1"/>
  <c r="M334" i="1"/>
  <c r="O333" i="1" a="1"/>
  <c r="N333" i="1"/>
  <c r="M333" i="1"/>
  <c r="O332" i="1" a="1"/>
  <c r="N332" i="1"/>
  <c r="M332" i="1"/>
  <c r="O331" i="1" a="1"/>
  <c r="N331" i="1"/>
  <c r="M331" i="1"/>
  <c r="O330" i="1" a="1"/>
  <c r="N330" i="1"/>
  <c r="M330" i="1"/>
  <c r="O329" i="1" a="1"/>
  <c r="N329" i="1"/>
  <c r="M329" i="1"/>
  <c r="O328" i="1" a="1"/>
  <c r="N328" i="1"/>
  <c r="M328" i="1"/>
  <c r="O327" i="1" a="1"/>
  <c r="N327" i="1"/>
  <c r="M327" i="1"/>
  <c r="O326" i="1" a="1"/>
  <c r="N326" i="1"/>
  <c r="M326" i="1"/>
  <c r="O325" i="1" a="1"/>
  <c r="N325" i="1"/>
  <c r="M325" i="1"/>
  <c r="O324" i="1" a="1"/>
  <c r="N324" i="1"/>
  <c r="M324" i="1"/>
  <c r="O323" i="1" a="1"/>
  <c r="N323" i="1"/>
  <c r="M323" i="1"/>
  <c r="O322" i="1" a="1"/>
  <c r="N322" i="1"/>
  <c r="M322" i="1"/>
  <c r="O321" i="1" a="1"/>
  <c r="N321" i="1"/>
  <c r="M321" i="1"/>
  <c r="O320" i="1" a="1"/>
  <c r="N320" i="1"/>
  <c r="M320" i="1"/>
  <c r="O319" i="1" a="1"/>
  <c r="N319" i="1"/>
  <c r="M319" i="1"/>
  <c r="O318" i="1" a="1"/>
  <c r="N318" i="1"/>
  <c r="M318" i="1"/>
  <c r="O317" i="1" a="1"/>
  <c r="N317" i="1"/>
  <c r="M317" i="1"/>
  <c r="O316" i="1" a="1"/>
  <c r="N316" i="1"/>
  <c r="M316" i="1"/>
  <c r="O315" i="1" a="1"/>
  <c r="N315" i="1"/>
  <c r="M315" i="1"/>
  <c r="O314" i="1" a="1"/>
  <c r="N314" i="1"/>
  <c r="M314" i="1"/>
  <c r="O313" i="1" a="1"/>
  <c r="N313" i="1"/>
  <c r="M313" i="1"/>
  <c r="O312" i="1" a="1"/>
  <c r="N312" i="1"/>
  <c r="M312" i="1"/>
  <c r="O311" i="1" a="1"/>
  <c r="N311" i="1"/>
  <c r="M311" i="1"/>
  <c r="O310" i="1" a="1"/>
  <c r="N310" i="1"/>
  <c r="M310" i="1"/>
  <c r="O309" i="1" a="1"/>
  <c r="N309" i="1"/>
  <c r="M309" i="1"/>
  <c r="O308" i="1" a="1"/>
  <c r="N308" i="1"/>
  <c r="M308" i="1"/>
  <c r="O307" i="1" a="1"/>
  <c r="N307" i="1"/>
  <c r="M307" i="1"/>
  <c r="O306" i="1" a="1"/>
  <c r="N306" i="1"/>
  <c r="M306" i="1"/>
  <c r="O305" i="1" a="1"/>
  <c r="N305" i="1"/>
  <c r="M305" i="1"/>
  <c r="O304" i="1" a="1"/>
  <c r="N304" i="1"/>
  <c r="M304" i="1"/>
  <c r="O303" i="1" a="1"/>
  <c r="N303" i="1"/>
  <c r="M303" i="1"/>
  <c r="O302" i="1" a="1"/>
  <c r="N302" i="1"/>
  <c r="M302" i="1"/>
  <c r="O301" i="1" a="1"/>
  <c r="N301" i="1"/>
  <c r="M301" i="1"/>
  <c r="O300" i="1" a="1"/>
  <c r="N300" i="1"/>
  <c r="M300" i="1"/>
  <c r="O299" i="1" a="1"/>
  <c r="N299" i="1"/>
  <c r="M299" i="1"/>
  <c r="O298" i="1" a="1"/>
  <c r="N298" i="1"/>
  <c r="M298" i="1"/>
  <c r="O297" i="1" a="1"/>
  <c r="N297" i="1"/>
  <c r="M297" i="1"/>
  <c r="O296" i="1" a="1"/>
  <c r="N296" i="1"/>
  <c r="M296" i="1"/>
  <c r="O295" i="1" a="1"/>
  <c r="N295" i="1"/>
  <c r="M295" i="1"/>
  <c r="O294" i="1" a="1"/>
  <c r="N294" i="1"/>
  <c r="M294" i="1"/>
  <c r="O293" i="1" a="1"/>
  <c r="N293" i="1"/>
  <c r="M293" i="1"/>
  <c r="O292" i="1" a="1"/>
  <c r="N292" i="1"/>
  <c r="M292" i="1"/>
  <c r="O291" i="1" a="1"/>
  <c r="N291" i="1"/>
  <c r="M291" i="1"/>
  <c r="O290" i="1" a="1"/>
  <c r="N290" i="1"/>
  <c r="M290" i="1"/>
  <c r="O289" i="1" a="1"/>
  <c r="N289" i="1"/>
  <c r="M289" i="1"/>
  <c r="O288" i="1" a="1"/>
  <c r="N288" i="1"/>
  <c r="M288" i="1"/>
  <c r="O287" i="1" a="1"/>
  <c r="N287" i="1"/>
  <c r="M287" i="1"/>
  <c r="O286" i="1" a="1"/>
  <c r="N286" i="1"/>
  <c r="M286" i="1"/>
  <c r="O285" i="1" a="1"/>
  <c r="N285" i="1"/>
  <c r="M285" i="1"/>
  <c r="O284" i="1" a="1"/>
  <c r="N284" i="1"/>
  <c r="M284" i="1"/>
  <c r="O283" i="1" a="1"/>
  <c r="N283" i="1"/>
  <c r="M283" i="1"/>
  <c r="O282" i="1" a="1"/>
  <c r="N282" i="1"/>
  <c r="M282" i="1"/>
  <c r="O281" i="1" a="1"/>
  <c r="N281" i="1"/>
  <c r="M281" i="1"/>
  <c r="O280" i="1" a="1"/>
  <c r="N280" i="1"/>
  <c r="M280" i="1"/>
  <c r="O279" i="1" a="1"/>
  <c r="N279" i="1"/>
  <c r="M279" i="1"/>
  <c r="O278" i="1" a="1"/>
  <c r="N278" i="1"/>
  <c r="M278" i="1"/>
  <c r="O277" i="1" a="1"/>
  <c r="N277" i="1"/>
  <c r="M277" i="1"/>
  <c r="O276" i="1" a="1"/>
  <c r="N276" i="1"/>
  <c r="M276" i="1"/>
  <c r="O275" i="1" a="1"/>
  <c r="N275" i="1"/>
  <c r="M275" i="1"/>
  <c r="O274" i="1" a="1"/>
  <c r="N274" i="1"/>
  <c r="M274" i="1"/>
  <c r="O273" i="1" a="1"/>
  <c r="N273" i="1"/>
  <c r="M273" i="1"/>
  <c r="O272" i="1" a="1"/>
  <c r="N272" i="1"/>
  <c r="M272" i="1"/>
  <c r="O271" i="1" a="1"/>
  <c r="N271" i="1"/>
  <c r="M271" i="1"/>
  <c r="O270" i="1" a="1"/>
  <c r="N270" i="1"/>
  <c r="M270" i="1"/>
  <c r="O269" i="1" a="1"/>
  <c r="N269" i="1"/>
  <c r="M269" i="1"/>
  <c r="O268" i="1" a="1"/>
  <c r="N268" i="1"/>
  <c r="M268" i="1"/>
  <c r="O267" i="1" a="1"/>
  <c r="N267" i="1"/>
  <c r="M267" i="1"/>
  <c r="O266" i="1" a="1"/>
  <c r="N266" i="1"/>
  <c r="M266" i="1"/>
  <c r="O265" i="1" a="1"/>
  <c r="N265" i="1"/>
  <c r="M265" i="1"/>
  <c r="O264" i="1" a="1"/>
  <c r="N264" i="1"/>
  <c r="M264" i="1"/>
  <c r="O263" i="1" a="1"/>
  <c r="N263" i="1"/>
  <c r="M263" i="1"/>
  <c r="O262" i="1" a="1"/>
  <c r="N262" i="1"/>
  <c r="M262" i="1"/>
  <c r="O261" i="1" a="1"/>
  <c r="N261" i="1"/>
  <c r="M261" i="1"/>
  <c r="O260" i="1" a="1"/>
  <c r="N260" i="1"/>
  <c r="M260" i="1"/>
  <c r="O259" i="1" a="1"/>
  <c r="N259" i="1"/>
  <c r="M259" i="1"/>
  <c r="O258" i="1" a="1"/>
  <c r="N258" i="1"/>
  <c r="M258" i="1"/>
  <c r="O257" i="1" a="1"/>
  <c r="N257" i="1"/>
  <c r="M257" i="1"/>
  <c r="O256" i="1" a="1"/>
  <c r="N256" i="1"/>
  <c r="M256" i="1"/>
  <c r="O255" i="1" a="1"/>
  <c r="N255" i="1"/>
  <c r="M255" i="1"/>
  <c r="O254" i="1" a="1"/>
  <c r="N254" i="1"/>
  <c r="M254" i="1"/>
  <c r="O253" i="1" a="1"/>
  <c r="N253" i="1"/>
  <c r="M253" i="1"/>
  <c r="O252" i="1" a="1"/>
  <c r="N252" i="1"/>
  <c r="M252" i="1"/>
  <c r="O251" i="1" a="1"/>
  <c r="N251" i="1"/>
  <c r="M251" i="1"/>
  <c r="O250" i="1" a="1"/>
  <c r="N250" i="1"/>
  <c r="M250" i="1"/>
  <c r="O249" i="1" a="1"/>
  <c r="N249" i="1"/>
  <c r="M249" i="1"/>
  <c r="O248" i="1" a="1"/>
  <c r="N248" i="1"/>
  <c r="M248" i="1"/>
  <c r="O247" i="1" a="1"/>
  <c r="N247" i="1"/>
  <c r="M247" i="1"/>
  <c r="O246" i="1" a="1"/>
  <c r="N246" i="1"/>
  <c r="M246" i="1"/>
  <c r="O245" i="1" a="1"/>
  <c r="N245" i="1"/>
  <c r="M245" i="1"/>
  <c r="O244" i="1" a="1"/>
  <c r="N244" i="1"/>
  <c r="M244" i="1"/>
  <c r="O243" i="1" a="1"/>
  <c r="N243" i="1"/>
  <c r="M243" i="1"/>
  <c r="O242" i="1" a="1"/>
  <c r="N242" i="1"/>
  <c r="M242" i="1"/>
  <c r="O241" i="1" a="1"/>
  <c r="N241" i="1"/>
  <c r="M241" i="1"/>
  <c r="O240" i="1" a="1"/>
  <c r="N240" i="1"/>
  <c r="M240" i="1"/>
  <c r="O239" i="1" a="1"/>
  <c r="N239" i="1"/>
  <c r="M239" i="1"/>
  <c r="O238" i="1" a="1"/>
  <c r="N238" i="1"/>
  <c r="M238" i="1"/>
  <c r="O237" i="1" a="1"/>
  <c r="N237" i="1"/>
  <c r="M237" i="1"/>
  <c r="O236" i="1" a="1"/>
  <c r="N236" i="1"/>
  <c r="M236" i="1"/>
  <c r="O235" i="1" a="1"/>
  <c r="N235" i="1"/>
  <c r="M235" i="1"/>
  <c r="O234" i="1" a="1"/>
  <c r="N234" i="1"/>
  <c r="M234" i="1"/>
  <c r="O233" i="1" a="1"/>
  <c r="N233" i="1"/>
  <c r="M233" i="1"/>
  <c r="O232" i="1" a="1"/>
  <c r="N232" i="1"/>
  <c r="M232" i="1"/>
  <c r="O231" i="1" a="1"/>
  <c r="N231" i="1"/>
  <c r="M231" i="1"/>
  <c r="O230" i="1" a="1"/>
  <c r="N230" i="1"/>
  <c r="M230" i="1"/>
  <c r="O229" i="1" a="1"/>
  <c r="N229" i="1"/>
  <c r="M229" i="1"/>
  <c r="O228" i="1" a="1"/>
  <c r="N228" i="1"/>
  <c r="M228" i="1"/>
  <c r="O227" i="1" a="1"/>
  <c r="N227" i="1"/>
  <c r="M227" i="1"/>
  <c r="O226" i="1" a="1"/>
  <c r="N226" i="1"/>
  <c r="M226" i="1"/>
  <c r="O225" i="1" a="1"/>
  <c r="N225" i="1"/>
  <c r="M225" i="1"/>
  <c r="O224" i="1" a="1"/>
  <c r="N224" i="1"/>
  <c r="M224" i="1"/>
  <c r="O223" i="1" a="1"/>
  <c r="N223" i="1"/>
  <c r="M223" i="1"/>
  <c r="O222" i="1" a="1"/>
  <c r="N222" i="1"/>
  <c r="M222" i="1"/>
  <c r="O221" i="1" a="1"/>
  <c r="N221" i="1"/>
  <c r="M221" i="1"/>
  <c r="O220" i="1" a="1"/>
  <c r="N220" i="1"/>
  <c r="M220" i="1"/>
  <c r="O219" i="1" a="1"/>
  <c r="N219" i="1"/>
  <c r="M219" i="1"/>
  <c r="O218" i="1" a="1"/>
  <c r="N218" i="1"/>
  <c r="M218" i="1"/>
  <c r="O217" i="1" a="1"/>
  <c r="N217" i="1"/>
  <c r="M217" i="1"/>
  <c r="O216" i="1" a="1"/>
  <c r="N216" i="1"/>
  <c r="M216" i="1"/>
  <c r="O215" i="1" a="1"/>
  <c r="N215" i="1"/>
  <c r="M215" i="1"/>
  <c r="O214" i="1" a="1"/>
  <c r="N214" i="1"/>
  <c r="M214" i="1"/>
  <c r="O213" i="1" a="1"/>
  <c r="N213" i="1"/>
  <c r="M213" i="1"/>
  <c r="O212" i="1" a="1"/>
  <c r="N212" i="1"/>
  <c r="M212" i="1"/>
  <c r="O211" i="1" a="1"/>
  <c r="N211" i="1"/>
  <c r="M211" i="1"/>
  <c r="O210" i="1" a="1"/>
  <c r="N210" i="1"/>
  <c r="M210" i="1"/>
  <c r="O209" i="1" a="1"/>
  <c r="N209" i="1"/>
  <c r="M209" i="1"/>
  <c r="O208" i="1" a="1"/>
  <c r="N208" i="1"/>
  <c r="M208" i="1"/>
  <c r="O207" i="1" a="1"/>
  <c r="N207" i="1"/>
  <c r="M207" i="1"/>
  <c r="O206" i="1" a="1"/>
  <c r="N206" i="1"/>
  <c r="M206" i="1"/>
  <c r="O205" i="1" a="1"/>
  <c r="N205" i="1"/>
  <c r="M205" i="1"/>
  <c r="O204" i="1" a="1"/>
  <c r="N204" i="1"/>
  <c r="M204" i="1"/>
  <c r="O203" i="1" a="1"/>
  <c r="N203" i="1"/>
  <c r="M203" i="1"/>
  <c r="O202" i="1" a="1"/>
  <c r="N202" i="1"/>
  <c r="M202" i="1"/>
  <c r="O201" i="1" a="1"/>
  <c r="N201" i="1"/>
  <c r="M201" i="1"/>
  <c r="O200" i="1" a="1"/>
  <c r="N200" i="1"/>
  <c r="M200" i="1"/>
  <c r="O199" i="1" a="1"/>
  <c r="N199" i="1"/>
  <c r="M199" i="1"/>
  <c r="O198" i="1" a="1"/>
  <c r="N198" i="1"/>
  <c r="M198" i="1"/>
  <c r="O197" i="1" a="1"/>
  <c r="N197" i="1"/>
  <c r="M197" i="1"/>
  <c r="O196" i="1" a="1"/>
  <c r="N196" i="1"/>
  <c r="M196" i="1"/>
  <c r="O195" i="1" a="1"/>
  <c r="N195" i="1"/>
  <c r="M195" i="1"/>
  <c r="O194" i="1" a="1"/>
  <c r="N194" i="1"/>
  <c r="M194" i="1"/>
  <c r="O193" i="1" a="1"/>
  <c r="N193" i="1"/>
  <c r="M193" i="1"/>
  <c r="O192" i="1" a="1"/>
  <c r="N192" i="1"/>
  <c r="M192" i="1"/>
  <c r="O191" i="1" a="1"/>
  <c r="N191" i="1"/>
  <c r="M191" i="1"/>
  <c r="O190" i="1" a="1"/>
  <c r="N190" i="1"/>
  <c r="M190" i="1"/>
  <c r="O189" i="1" a="1"/>
  <c r="N189" i="1"/>
  <c r="M189" i="1"/>
  <c r="O188" i="1" a="1"/>
  <c r="N188" i="1"/>
  <c r="M188" i="1"/>
  <c r="O187" i="1" a="1"/>
  <c r="N187" i="1"/>
  <c r="M187" i="1"/>
  <c r="O186" i="1" a="1"/>
  <c r="N186" i="1"/>
  <c r="M186" i="1"/>
  <c r="O185" i="1" a="1"/>
  <c r="N185" i="1"/>
  <c r="M185" i="1"/>
  <c r="O184" i="1" a="1"/>
  <c r="N184" i="1"/>
  <c r="M184" i="1"/>
  <c r="O183" i="1" a="1"/>
  <c r="N183" i="1"/>
  <c r="M183" i="1"/>
  <c r="O182" i="1" a="1"/>
  <c r="N182" i="1"/>
  <c r="M182" i="1"/>
  <c r="O181" i="1" a="1"/>
  <c r="N181" i="1"/>
  <c r="M181" i="1"/>
  <c r="O180" i="1" a="1"/>
  <c r="N180" i="1"/>
  <c r="M180" i="1"/>
  <c r="O179" i="1" a="1"/>
  <c r="N179" i="1"/>
  <c r="M179" i="1"/>
  <c r="O178" i="1" a="1"/>
  <c r="N178" i="1"/>
  <c r="M178" i="1"/>
  <c r="O177" i="1" a="1"/>
  <c r="N177" i="1"/>
  <c r="M177" i="1"/>
  <c r="O176" i="1" a="1"/>
  <c r="N176" i="1"/>
  <c r="M176" i="1"/>
  <c r="O175" i="1" a="1"/>
  <c r="N175" i="1"/>
  <c r="M175" i="1"/>
  <c r="O174" i="1" a="1"/>
  <c r="N174" i="1"/>
  <c r="M174" i="1"/>
  <c r="O173" i="1" a="1"/>
  <c r="N173" i="1"/>
  <c r="M173" i="1"/>
  <c r="O172" i="1" a="1"/>
  <c r="N172" i="1"/>
  <c r="M172" i="1"/>
  <c r="O171" i="1" a="1"/>
  <c r="N171" i="1"/>
  <c r="M171" i="1"/>
  <c r="O170" i="1" a="1"/>
  <c r="N170" i="1"/>
  <c r="M170" i="1"/>
  <c r="O169" i="1" a="1"/>
  <c r="N169" i="1"/>
  <c r="M169" i="1"/>
  <c r="O168" i="1" a="1"/>
  <c r="N168" i="1"/>
  <c r="M168" i="1"/>
  <c r="O167" i="1" a="1"/>
  <c r="N167" i="1"/>
  <c r="M167" i="1"/>
  <c r="O166" i="1" a="1"/>
  <c r="N166" i="1"/>
  <c r="M166" i="1"/>
  <c r="O165" i="1" a="1"/>
  <c r="N165" i="1"/>
  <c r="M165" i="1"/>
  <c r="O164" i="1" a="1"/>
  <c r="N164" i="1"/>
  <c r="M164" i="1"/>
  <c r="O163" i="1" a="1"/>
  <c r="N163" i="1"/>
  <c r="M163" i="1"/>
  <c r="O162" i="1" a="1"/>
  <c r="N162" i="1"/>
  <c r="M162" i="1"/>
  <c r="O161" i="1" a="1"/>
  <c r="N161" i="1"/>
  <c r="M161" i="1"/>
  <c r="O160" i="1" a="1"/>
  <c r="N160" i="1"/>
  <c r="M160" i="1"/>
  <c r="O159" i="1" a="1"/>
  <c r="N159" i="1"/>
  <c r="M159" i="1"/>
  <c r="O158" i="1" a="1"/>
  <c r="N158" i="1"/>
  <c r="M158" i="1"/>
  <c r="O157" i="1" a="1"/>
  <c r="N157" i="1"/>
  <c r="M157" i="1"/>
  <c r="O156" i="1" a="1"/>
  <c r="N156" i="1"/>
  <c r="M156" i="1"/>
  <c r="O155" i="1" a="1"/>
  <c r="N155" i="1"/>
  <c r="M155" i="1"/>
  <c r="O154" i="1" a="1"/>
  <c r="N154" i="1"/>
  <c r="M154" i="1"/>
  <c r="O153" i="1" a="1"/>
  <c r="N153" i="1"/>
  <c r="M153" i="1"/>
  <c r="O152" i="1" a="1"/>
  <c r="N152" i="1"/>
  <c r="M152" i="1"/>
  <c r="O151" i="1" a="1"/>
  <c r="N151" i="1"/>
  <c r="M151" i="1"/>
  <c r="O150" i="1" a="1"/>
  <c r="N150" i="1"/>
  <c r="M150" i="1"/>
  <c r="O149" i="1" a="1"/>
  <c r="N149" i="1"/>
  <c r="M149" i="1"/>
  <c r="O148" i="1" a="1"/>
  <c r="N148" i="1"/>
  <c r="M148" i="1"/>
  <c r="O147" i="1" a="1"/>
  <c r="N147" i="1"/>
  <c r="M147" i="1"/>
  <c r="O146" i="1" a="1"/>
  <c r="N146" i="1"/>
  <c r="M146" i="1"/>
  <c r="O145" i="1" a="1"/>
  <c r="N145" i="1"/>
  <c r="M145" i="1"/>
  <c r="O144" i="1" a="1"/>
  <c r="N144" i="1"/>
  <c r="M144" i="1"/>
  <c r="O143" i="1" a="1"/>
  <c r="N143" i="1"/>
  <c r="M143" i="1"/>
  <c r="O142" i="1" a="1"/>
  <c r="N142" i="1"/>
  <c r="M142" i="1"/>
  <c r="O141" i="1" a="1"/>
  <c r="N141" i="1"/>
  <c r="M141" i="1"/>
  <c r="O140" i="1" a="1"/>
  <c r="N140" i="1"/>
  <c r="M140" i="1"/>
  <c r="O139" i="1" a="1"/>
  <c r="N139" i="1"/>
  <c r="M139" i="1"/>
  <c r="O138" i="1" a="1"/>
  <c r="N138" i="1"/>
  <c r="M138" i="1"/>
  <c r="O137" i="1" a="1"/>
  <c r="N137" i="1"/>
  <c r="M137" i="1"/>
  <c r="O136" i="1" a="1"/>
  <c r="N136" i="1"/>
  <c r="M136" i="1"/>
  <c r="O135" i="1" a="1"/>
  <c r="N135" i="1"/>
  <c r="M135" i="1"/>
  <c r="O134" i="1" a="1"/>
  <c r="N134" i="1"/>
  <c r="M134" i="1"/>
  <c r="O133" i="1" a="1"/>
  <c r="N133" i="1"/>
  <c r="M133" i="1"/>
  <c r="O132" i="1" a="1"/>
  <c r="N132" i="1"/>
  <c r="M132" i="1"/>
  <c r="O131" i="1" a="1"/>
  <c r="N131" i="1"/>
  <c r="M131" i="1"/>
  <c r="O130" i="1" a="1"/>
  <c r="N130" i="1"/>
  <c r="M130" i="1"/>
  <c r="O129" i="1" a="1"/>
  <c r="N129" i="1"/>
  <c r="M129" i="1"/>
  <c r="O128" i="1" a="1"/>
  <c r="N128" i="1"/>
  <c r="M128" i="1"/>
  <c r="O127" i="1" a="1"/>
  <c r="N127" i="1"/>
  <c r="M127" i="1"/>
  <c r="O126" i="1" a="1"/>
  <c r="N126" i="1"/>
  <c r="M126" i="1"/>
  <c r="O125" i="1" a="1"/>
  <c r="N125" i="1"/>
  <c r="M125" i="1"/>
  <c r="O124" i="1" a="1"/>
  <c r="N124" i="1"/>
  <c r="M124" i="1"/>
  <c r="O123" i="1" a="1"/>
  <c r="N123" i="1"/>
  <c r="M123" i="1"/>
  <c r="O122" i="1" a="1"/>
  <c r="N122" i="1"/>
  <c r="M122" i="1"/>
  <c r="O121" i="1" a="1"/>
  <c r="N121" i="1"/>
  <c r="M121" i="1"/>
  <c r="O120" i="1" a="1"/>
  <c r="N120" i="1"/>
  <c r="M120" i="1"/>
  <c r="O119" i="1" a="1"/>
  <c r="N119" i="1"/>
  <c r="M119" i="1"/>
  <c r="O118" i="1" a="1"/>
  <c r="N118" i="1"/>
  <c r="M118" i="1"/>
  <c r="O117" i="1" a="1"/>
  <c r="N117" i="1"/>
  <c r="M117" i="1"/>
  <c r="O116" i="1" a="1"/>
  <c r="N116" i="1"/>
  <c r="M116" i="1"/>
  <c r="O115" i="1" a="1"/>
  <c r="N115" i="1"/>
  <c r="M115" i="1"/>
  <c r="O114" i="1" a="1"/>
  <c r="N114" i="1"/>
  <c r="M114" i="1"/>
  <c r="O113" i="1" a="1"/>
  <c r="N113" i="1"/>
  <c r="M113" i="1"/>
  <c r="O112" i="1" a="1"/>
  <c r="N112" i="1"/>
  <c r="M112" i="1"/>
  <c r="O111" i="1" a="1"/>
  <c r="N111" i="1"/>
  <c r="M111" i="1"/>
  <c r="O110" i="1" a="1"/>
  <c r="N110" i="1"/>
  <c r="M110" i="1"/>
  <c r="O109" i="1" a="1"/>
  <c r="N109" i="1"/>
  <c r="M109" i="1"/>
  <c r="O108" i="1" a="1"/>
  <c r="N108" i="1"/>
  <c r="M108" i="1"/>
  <c r="O107" i="1" a="1"/>
  <c r="N107" i="1"/>
  <c r="M107" i="1"/>
  <c r="O106" i="1" a="1"/>
  <c r="N106" i="1"/>
  <c r="M106" i="1"/>
  <c r="O105" i="1" a="1"/>
  <c r="N105" i="1"/>
  <c r="M105" i="1"/>
  <c r="O104" i="1" a="1"/>
  <c r="N104" i="1"/>
  <c r="M104" i="1"/>
  <c r="O103" i="1" a="1"/>
  <c r="N103" i="1"/>
  <c r="M103" i="1"/>
  <c r="O102" i="1" a="1"/>
  <c r="N102" i="1"/>
  <c r="M102" i="1"/>
  <c r="O101" i="1" a="1"/>
  <c r="N101" i="1"/>
  <c r="M101" i="1"/>
  <c r="O100" i="1" a="1"/>
  <c r="N100" i="1"/>
  <c r="M100" i="1"/>
  <c r="O99" i="1" a="1"/>
  <c r="N99" i="1"/>
  <c r="M99" i="1"/>
  <c r="O98" i="1" a="1"/>
  <c r="N98" i="1"/>
  <c r="M98" i="1"/>
  <c r="O97" i="1" a="1"/>
  <c r="N97" i="1"/>
  <c r="M97" i="1"/>
  <c r="O96" i="1" a="1"/>
  <c r="N96" i="1"/>
  <c r="M96" i="1"/>
  <c r="O95" i="1" a="1"/>
  <c r="N95" i="1"/>
  <c r="M95" i="1"/>
  <c r="O94" i="1" a="1"/>
  <c r="N94" i="1"/>
  <c r="M94" i="1"/>
  <c r="O93" i="1" a="1"/>
  <c r="N93" i="1"/>
  <c r="M93" i="1"/>
  <c r="O92" i="1" a="1"/>
  <c r="N92" i="1"/>
  <c r="M92" i="1"/>
  <c r="O91" i="1" a="1"/>
  <c r="N91" i="1"/>
  <c r="M91" i="1"/>
  <c r="O90" i="1" a="1"/>
  <c r="N90" i="1"/>
  <c r="M90" i="1"/>
  <c r="O89" i="1" a="1"/>
  <c r="N89" i="1"/>
  <c r="M89" i="1"/>
  <c r="O88" i="1" a="1"/>
  <c r="N88" i="1"/>
  <c r="M88" i="1"/>
  <c r="O87" i="1" a="1"/>
  <c r="N87" i="1"/>
  <c r="M87" i="1"/>
  <c r="O86" i="1" a="1"/>
  <c r="N86" i="1"/>
  <c r="M86" i="1"/>
  <c r="O85" i="1" a="1"/>
  <c r="N85" i="1"/>
  <c r="M85" i="1"/>
  <c r="O84" i="1" a="1"/>
  <c r="N84" i="1"/>
  <c r="M84" i="1"/>
  <c r="O83" i="1" a="1"/>
  <c r="N83" i="1"/>
  <c r="M83" i="1"/>
  <c r="O82" i="1" a="1"/>
  <c r="N82" i="1"/>
  <c r="M82" i="1"/>
  <c r="O81" i="1" a="1"/>
  <c r="N81" i="1"/>
  <c r="M81" i="1"/>
  <c r="O80" i="1" a="1"/>
  <c r="N80" i="1"/>
  <c r="M80" i="1"/>
  <c r="O79" i="1" a="1"/>
  <c r="N79" i="1"/>
  <c r="M79" i="1"/>
  <c r="O78" i="1" a="1"/>
  <c r="N78" i="1"/>
  <c r="M78" i="1"/>
  <c r="O77" i="1" a="1"/>
  <c r="N77" i="1"/>
  <c r="M77" i="1"/>
  <c r="O76" i="1" a="1"/>
  <c r="N76" i="1"/>
  <c r="M76" i="1"/>
  <c r="O75" i="1" a="1"/>
  <c r="N75" i="1"/>
  <c r="M75" i="1"/>
  <c r="O74" i="1" a="1"/>
  <c r="N74" i="1"/>
  <c r="M74" i="1"/>
  <c r="O73" i="1" a="1"/>
  <c r="N73" i="1"/>
  <c r="M73" i="1"/>
  <c r="O72" i="1" a="1"/>
  <c r="N72" i="1"/>
  <c r="M72" i="1"/>
  <c r="O71" i="1" a="1"/>
  <c r="N71" i="1"/>
  <c r="M71" i="1"/>
  <c r="O70" i="1" a="1"/>
  <c r="N70" i="1"/>
  <c r="M70" i="1"/>
  <c r="O69" i="1" a="1"/>
  <c r="N69" i="1"/>
  <c r="M69" i="1"/>
  <c r="O68" i="1" a="1"/>
  <c r="N68" i="1"/>
  <c r="M68" i="1"/>
  <c r="O67" i="1" a="1"/>
  <c r="N67" i="1"/>
  <c r="M67" i="1"/>
  <c r="O66" i="1" a="1"/>
  <c r="N66" i="1"/>
  <c r="M66" i="1"/>
  <c r="O65" i="1" a="1"/>
  <c r="N65" i="1"/>
  <c r="M65" i="1"/>
  <c r="O64" i="1" a="1"/>
  <c r="N64" i="1"/>
  <c r="M64" i="1"/>
  <c r="O63" i="1" a="1"/>
  <c r="N63" i="1"/>
  <c r="M63" i="1"/>
  <c r="O62" i="1" a="1"/>
  <c r="N62" i="1"/>
  <c r="M62" i="1"/>
  <c r="O61" i="1" a="1"/>
  <c r="N61" i="1"/>
  <c r="M61" i="1"/>
  <c r="O60" i="1" a="1"/>
  <c r="N60" i="1"/>
  <c r="M60" i="1"/>
  <c r="O59" i="1" a="1"/>
  <c r="N59" i="1"/>
  <c r="M59" i="1"/>
  <c r="O58" i="1" a="1"/>
  <c r="N58" i="1"/>
  <c r="M58" i="1"/>
  <c r="O57" i="1" a="1"/>
  <c r="N57" i="1"/>
  <c r="M57" i="1"/>
  <c r="O56" i="1" a="1"/>
  <c r="N56" i="1"/>
  <c r="M56" i="1"/>
  <c r="O55" i="1" a="1"/>
  <c r="N55" i="1"/>
  <c r="M55" i="1"/>
  <c r="O54" i="1" a="1"/>
  <c r="N54" i="1"/>
  <c r="M54" i="1"/>
  <c r="O53" i="1" a="1"/>
  <c r="N53" i="1"/>
  <c r="M53" i="1"/>
  <c r="O52" i="1" a="1"/>
  <c r="N52" i="1"/>
  <c r="M52" i="1"/>
  <c r="O51" i="1" a="1"/>
  <c r="N51" i="1"/>
  <c r="M51" i="1"/>
  <c r="O50" i="1" a="1"/>
  <c r="N50" i="1"/>
  <c r="M50" i="1"/>
  <c r="O49" i="1" a="1"/>
  <c r="N49" i="1"/>
  <c r="M49" i="1"/>
  <c r="O48" i="1" a="1"/>
  <c r="N48" i="1"/>
  <c r="M48" i="1"/>
  <c r="O47" i="1" a="1"/>
  <c r="N47" i="1"/>
  <c r="M47" i="1"/>
  <c r="O46" i="1" a="1"/>
  <c r="N46" i="1"/>
  <c r="M46" i="1"/>
  <c r="O45" i="1" a="1"/>
  <c r="N45" i="1"/>
  <c r="M45" i="1"/>
  <c r="O44" i="1" a="1"/>
  <c r="N44" i="1"/>
  <c r="M44" i="1"/>
  <c r="O43" i="1" a="1"/>
  <c r="N43" i="1"/>
  <c r="M43" i="1"/>
  <c r="O42" i="1" a="1"/>
  <c r="N42" i="1"/>
  <c r="M42" i="1"/>
  <c r="O41" i="1" a="1"/>
  <c r="N41" i="1"/>
  <c r="M41" i="1"/>
  <c r="O40" i="1" a="1"/>
  <c r="N40" i="1"/>
  <c r="M40" i="1"/>
  <c r="O39" i="1" a="1"/>
  <c r="N39" i="1"/>
  <c r="M39" i="1"/>
  <c r="O38" i="1" a="1"/>
  <c r="N38" i="1"/>
  <c r="M38" i="1"/>
  <c r="O37" i="1" a="1"/>
  <c r="N37" i="1"/>
  <c r="M37" i="1"/>
  <c r="O36" i="1" a="1"/>
  <c r="N36" i="1"/>
  <c r="M36" i="1"/>
  <c r="O35" i="1" a="1"/>
  <c r="N35" i="1"/>
  <c r="M35" i="1"/>
  <c r="O34" i="1" a="1"/>
  <c r="N34" i="1"/>
  <c r="M34" i="1"/>
  <c r="O33" i="1" a="1"/>
  <c r="N33" i="1"/>
  <c r="M33" i="1"/>
  <c r="O32" i="1" a="1"/>
  <c r="N32" i="1"/>
  <c r="M32" i="1"/>
  <c r="O31" i="1" a="1"/>
  <c r="N31" i="1"/>
  <c r="M31" i="1"/>
  <c r="O30" i="1" a="1"/>
  <c r="N30" i="1"/>
  <c r="M30" i="1"/>
  <c r="O29" i="1" a="1"/>
  <c r="N29" i="1"/>
  <c r="M29" i="1"/>
  <c r="O28" i="1" a="1"/>
  <c r="N28" i="1"/>
  <c r="M28" i="1"/>
  <c r="O27" i="1" a="1"/>
  <c r="N27" i="1"/>
  <c r="M27" i="1"/>
  <c r="O26" i="1" a="1"/>
  <c r="N26" i="1"/>
  <c r="M26" i="1"/>
  <c r="O25" i="1" a="1"/>
  <c r="N25" i="1"/>
  <c r="M25" i="1"/>
  <c r="O24" i="1" a="1"/>
  <c r="N24" i="1"/>
  <c r="M24" i="1"/>
  <c r="O23" i="1" a="1"/>
  <c r="N23" i="1"/>
  <c r="M23" i="1"/>
  <c r="O22" i="1" a="1"/>
  <c r="N22" i="1"/>
  <c r="M22" i="1"/>
  <c r="O21" i="1" a="1"/>
  <c r="N21" i="1"/>
  <c r="M21" i="1"/>
  <c r="O20" i="1" a="1"/>
  <c r="N20" i="1"/>
  <c r="M20" i="1"/>
  <c r="O19" i="1" a="1"/>
  <c r="N19" i="1"/>
  <c r="M19" i="1"/>
  <c r="O18" i="1" a="1"/>
  <c r="N18" i="1"/>
  <c r="M18" i="1"/>
  <c r="O17" i="1" a="1"/>
  <c r="N17" i="1"/>
  <c r="M17" i="1"/>
  <c r="O16" i="1" a="1"/>
  <c r="N16" i="1"/>
  <c r="M16" i="1"/>
  <c r="O15" i="1" a="1"/>
  <c r="N15" i="1"/>
  <c r="M15" i="1"/>
  <c r="O14" i="1" a="1"/>
  <c r="N14" i="1"/>
  <c r="M14" i="1"/>
  <c r="O13" i="1" a="1"/>
  <c r="N13" i="1"/>
  <c r="M13" i="1"/>
  <c r="O12" i="1" a="1"/>
  <c r="N12" i="1"/>
  <c r="M12" i="1"/>
  <c r="O11" i="1" a="1"/>
  <c r="N11" i="1"/>
  <c r="M11" i="1"/>
  <c r="O10" i="1" a="1"/>
  <c r="N10" i="1"/>
  <c r="M10" i="1"/>
  <c r="O9" i="1" a="1"/>
  <c r="N9" i="1"/>
  <c r="M9" i="1"/>
  <c r="O8" i="1" a="1"/>
  <c r="N8" i="1"/>
  <c r="M8" i="1"/>
  <c r="O7" i="1" a="1"/>
  <c r="N7" i="1"/>
  <c r="M7" i="1"/>
  <c r="O6" i="1" a="1"/>
  <c r="N6" i="1"/>
  <c r="M6" i="1"/>
  <c r="O5" i="1" a="1"/>
  <c r="N5" i="1"/>
  <c r="M5" i="1"/>
  <c r="O4" i="1" a="1"/>
  <c r="N4" i="1"/>
  <c r="M4" i="1"/>
  <c r="O3" i="1" a="1"/>
  <c r="N3" i="1"/>
  <c r="M3" i="1"/>
  <c r="O2" i="1" a="1"/>
  <c r="N2" i="1"/>
  <c r="M2" i="1"/>
  <c r="L5" i="11" a="1"/>
  <c r="L6" i="11" a="1"/>
  <c r="L7" i="11" a="1"/>
  <c r="L8" i="11" a="1"/>
  <c r="L9" i="11" a="1"/>
  <c r="L10" i="11" a="1"/>
  <c r="L11" i="11" a="1"/>
  <c r="L12" i="11" a="1"/>
  <c r="L13" i="11" a="1"/>
  <c r="L14" i="11" a="1"/>
  <c r="L15" i="11" a="1"/>
  <c r="L16" i="11" a="1"/>
  <c r="L17" i="11" a="1"/>
  <c r="L18" i="11" a="1"/>
  <c r="L19" i="11" a="1"/>
  <c r="L20" i="11" a="1"/>
  <c r="L21" i="11" a="1"/>
  <c r="L22" i="11" a="1"/>
  <c r="L23" i="11" a="1"/>
  <c r="L24" i="11" a="1"/>
  <c r="L25" i="11" a="1"/>
  <c r="L26" i="11" a="1"/>
  <c r="L27" i="11" a="1"/>
  <c r="L28" i="11" a="1"/>
  <c r="L29" i="11" a="1"/>
  <c r="L30" i="11" a="1"/>
  <c r="L31" i="11" a="1"/>
  <c r="L32" i="11" a="1"/>
  <c r="L33" i="11" a="1"/>
  <c r="L34" i="11" a="1"/>
  <c r="L35" i="11" a="1"/>
  <c r="L36" i="11" a="1"/>
  <c r="L37" i="11" a="1"/>
  <c r="L38" i="11" a="1"/>
  <c r="L39" i="11" a="1"/>
  <c r="L40" i="11" a="1"/>
  <c r="L41" i="11" a="1"/>
  <c r="L42" i="11" a="1"/>
  <c r="L43" i="11" a="1"/>
  <c r="L44" i="11" a="1"/>
  <c r="L45" i="11" a="1"/>
  <c r="L46" i="11" a="1"/>
  <c r="L47" i="11" a="1"/>
  <c r="L48" i="11" a="1"/>
  <c r="L49" i="11" a="1"/>
  <c r="L50" i="11" a="1"/>
  <c r="L51" i="11" a="1"/>
  <c r="L52" i="11" a="1"/>
  <c r="L53" i="11" a="1"/>
  <c r="L54" i="11" a="1"/>
  <c r="L55" i="11" a="1"/>
  <c r="L56" i="11" a="1"/>
  <c r="L57" i="11" a="1"/>
  <c r="L58" i="11" a="1"/>
  <c r="L59" i="11" a="1"/>
  <c r="L60" i="11" a="1"/>
  <c r="L61" i="11" a="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4" i="11"/>
  <c r="H4" i="11" a="1"/>
  <c r="L4" i="11" a="1"/>
  <c r="H5" i="11" a="1"/>
  <c r="H6" i="11" a="1"/>
  <c r="H7" i="11" a="1"/>
  <c r="H8" i="11" a="1"/>
  <c r="H9" i="11" a="1"/>
  <c r="H10" i="11" a="1"/>
  <c r="H11" i="11" a="1"/>
  <c r="H12" i="11" a="1"/>
  <c r="H13" i="11" a="1"/>
  <c r="H14" i="11" a="1"/>
  <c r="H15" i="11" a="1"/>
  <c r="H16" i="11" a="1"/>
  <c r="H17" i="11" a="1"/>
  <c r="H18" i="11" a="1"/>
  <c r="H19" i="11" a="1"/>
  <c r="H20" i="11" a="1"/>
  <c r="H21" i="11" a="1"/>
  <c r="H22" i="11" a="1"/>
  <c r="H23" i="11" a="1"/>
  <c r="H24" i="11" a="1"/>
  <c r="H25" i="11" a="1"/>
  <c r="H26" i="11" a="1"/>
  <c r="H27" i="11" a="1"/>
  <c r="H28" i="11" a="1"/>
  <c r="H29" i="11" a="1"/>
  <c r="H30" i="11" a="1"/>
  <c r="H31" i="11" a="1"/>
  <c r="H32" i="11" a="1"/>
  <c r="H33" i="11" a="1"/>
  <c r="H34" i="11" a="1"/>
  <c r="H35" i="11" a="1"/>
  <c r="H36" i="11" a="1"/>
  <c r="H37" i="11" a="1"/>
  <c r="H38" i="11" a="1"/>
  <c r="H39" i="11" a="1"/>
  <c r="H40" i="11" a="1"/>
  <c r="H41" i="11" a="1"/>
  <c r="H42" i="11" a="1"/>
  <c r="H43" i="11" a="1"/>
  <c r="H44" i="11" a="1"/>
  <c r="H45" i="11" a="1"/>
  <c r="H46" i="11" a="1"/>
  <c r="H47" i="11" a="1"/>
  <c r="H48" i="11" a="1"/>
  <c r="H49" i="11" a="1"/>
  <c r="H50" i="11" a="1"/>
  <c r="H51" i="11" a="1"/>
  <c r="H52" i="11" a="1"/>
  <c r="H53" i="11" a="1"/>
  <c r="H54" i="11" a="1"/>
  <c r="H55" i="11" a="1"/>
  <c r="H56" i="11" a="1"/>
  <c r="H57" i="11" a="1"/>
  <c r="H58" i="11" a="1"/>
  <c r="H59" i="11" a="1"/>
  <c r="H60" i="11" a="1"/>
  <c r="H61" i="11" a="1"/>
  <c r="I4" i="7"/>
  <c r="J4" i="7"/>
  <c r="K4" i="7"/>
  <c r="L4" i="7"/>
  <c r="H6" i="7"/>
  <c r="H7" i="7"/>
  <c r="H8" i="7"/>
  <c r="H9" i="7"/>
  <c r="I5" i="7"/>
  <c r="J5" i="7"/>
  <c r="K5" i="7"/>
  <c r="L5" i="7"/>
  <c r="I6" i="7"/>
  <c r="J6" i="7"/>
  <c r="K6" i="7"/>
  <c r="L6" i="7"/>
  <c r="I7" i="7"/>
  <c r="J7" i="7"/>
  <c r="K7" i="7"/>
  <c r="L7" i="7"/>
  <c r="I8" i="7"/>
  <c r="J8" i="7"/>
  <c r="K8" i="7"/>
  <c r="L8" i="7"/>
  <c r="I9" i="7"/>
  <c r="J9" i="7"/>
  <c r="K9" i="7"/>
  <c r="L9" i="7"/>
  <c r="H5" i="7"/>
  <c r="K4" i="5"/>
  <c r="M4" i="5"/>
  <c r="L4" i="5"/>
  <c r="J4" i="5"/>
  <c r="I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<sst xmlns="http://schemas.openxmlformats.org/spreadsheetml/2006/main" count="14647" uniqueCount="2556">
  <si>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</si>
  <si>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</si>
  <si>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</si>
  <si>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</si>
  <si>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</si>
  <si>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</si>
  <si>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</si>
  <si>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</si>
  <si>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</si>
  <si>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</si>
  <si>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</si>
  <si>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</si>
  <si>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</si>
  <si>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</si>
  <si>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</si>
  <si>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</si>
  <si>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</si>
  <si>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</si>
  <si>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</si>
  <si>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</si>
  <si>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</si>
  <si>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</si>
  <si>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</si>
  <si>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</si>
  <si>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</si>
  <si>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</si>
  <si>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</si>
  <si>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</si>
  <si>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</si>
  <si>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</si>
  <si>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</si>
  <si>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</si>
  <si>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</si>
  <si>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</si>
  <si>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</si>
  <si>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</si>
  <si>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</si>
  <si>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</si>
  <si>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</si>
  <si>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</si>
  <si>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</si>
  <si>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</si>
  <si>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</si>
  <si>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</si>
  <si>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</si>
  <si>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</si>
  <si>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</si>
  <si>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</si>
  <si>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</si>
  <si>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</si>
  <si>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</si>
  <si>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</si>
  <si>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</si>
  <si>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</si>
  <si>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</si>
  <si>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</si>
  <si>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</si>
  <si>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</si>
  <si>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</si>
  <si>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</si>
  <si>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</si>
  <si>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</si>
  <si>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</si>
  <si>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</si>
  <si>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</si>
  <si>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</si>
  <si>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</si>
  <si>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</si>
  <si>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</si>
  <si>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</si>
  <si>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</si>
  <si>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</si>
  <si>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</si>
  <si>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</si>
  <si>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</si>
  <si>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</si>
  <si>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</si>
  <si>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</si>
  <si>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</si>
  <si>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</si>
  <si>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</si>
  <si>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</si>
  <si>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</si>
  <si>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</si>
  <si>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</si>
  <si>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</si>
  <si>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</si>
  <si>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</si>
  <si>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</si>
  <si>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</si>
  <si>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</si>
  <si>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</si>
  <si>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</si>
  <si>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</si>
  <si>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</si>
  <si>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</si>
  <si>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</si>
  <si>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</si>
  <si>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</si>
  <si>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</si>
  <si>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</si>
  <si>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</si>
  <si>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</si>
  <si>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</si>
  <si>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</si>
  <si>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</si>
  <si>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</si>
  <si>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</si>
  <si>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</si>
  <si>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</si>
  <si>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</si>
  <si>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</si>
  <si>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</si>
  <si>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</si>
  <si>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</si>
  <si>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</si>
  <si>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</si>
  <si>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</si>
  <si>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</si>
  <si>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</si>
  <si>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</si>
  <si>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</si>
  <si>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</si>
  <si>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</si>
  <si>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</si>
  <si>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</si>
  <si>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</si>
  <si>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</si>
  <si>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</si>
  <si>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</si>
  <si>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</si>
  <si>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</si>
  <si>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</si>
  <si>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</si>
  <si>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</si>
  <si>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</si>
  <si>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</si>
  <si>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</si>
  <si>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</si>
  <si>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</si>
  <si>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</si>
  <si>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</si>
  <si>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</si>
  <si>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</si>
  <si>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</si>
  <si>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</si>
  <si>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</si>
  <si>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</si>
  <si>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</si>
  <si>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</si>
  <si>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</si>
  <si>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</si>
  <si>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</si>
  <si>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</si>
  <si>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</si>
  <si>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</si>
  <si>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</si>
  <si>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</si>
  <si>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</si>
  <si>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</si>
  <si>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</si>
  <si>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</si>
  <si>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</si>
  <si>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</si>
  <si>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</si>
  <si>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</si>
  <si>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</si>
  <si>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</si>
  <si>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</si>
  <si>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</si>
  <si>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</si>
  <si>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</si>
  <si>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</si>
  <si>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</si>
  <si>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</si>
  <si>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</si>
  <si>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</si>
  <si>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</si>
  <si>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</si>
  <si>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</si>
  <si>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</si>
  <si>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</si>
  <si>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</si>
  <si>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</si>
  <si>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</si>
  <si>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</si>
  <si>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</si>
  <si>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</si>
  <si>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</si>
  <si>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</si>
  <si>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</si>
  <si>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</si>
  <si>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</si>
  <si>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</si>
  <si>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</si>
  <si>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</si>
  <si>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</si>
  <si>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</si>
  <si>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</si>
  <si>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</si>
  <si>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</si>
  <si>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</si>
  <si>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</si>
  <si>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</si>
  <si>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</si>
  <si>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</si>
  <si>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</si>
  <si>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</si>
  <si>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</si>
  <si>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</si>
  <si>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</si>
  <si>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</si>
  <si>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</si>
  <si>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</si>
  <si>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</si>
  <si>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</si>
  <si>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</si>
  <si>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</si>
  <si>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</si>
  <si>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</si>
  <si>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</si>
  <si>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</si>
  <si>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</si>
  <si>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</si>
  <si>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</si>
  <si>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</si>
  <si>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</si>
  <si>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</si>
  <si>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</si>
  <si>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</si>
  <si>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</si>
  <si>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</si>
  <si>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</si>
  <si>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</si>
  <si>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</si>
  <si>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</si>
  <si>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</si>
  <si>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</si>
  <si>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</si>
  <si>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</si>
  <si>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</si>
  <si>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</si>
  <si>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</si>
  <si>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</si>
  <si>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</si>
  <si>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</si>
  <si>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</si>
  <si>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</si>
  <si>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</si>
  <si>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</si>
  <si>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</si>
  <si>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</si>
  <si>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</si>
  <si>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</si>
  <si>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</si>
  <si>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</si>
  <si>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</si>
  <si>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</si>
  <si>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</si>
  <si>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</si>
  <si>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</si>
  <si>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</si>
  <si>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</si>
  <si>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</si>
  <si>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</si>
  <si>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</si>
  <si>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</si>
  <si>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</si>
  <si>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</si>
  <si>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</si>
  <si>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</si>
  <si>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</si>
  <si>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</si>
  <si>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</si>
  <si>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</si>
  <si>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</si>
  <si>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</si>
  <si>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</si>
  <si>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</si>
  <si>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</si>
  <si>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</si>
  <si>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</si>
  <si>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</si>
  <si>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</si>
  <si>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</si>
  <si>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</si>
  <si>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</si>
  <si>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</si>
  <si>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</si>
  <si>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</si>
  <si>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</si>
  <si>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</si>
  <si>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</si>
  <si>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</si>
  <si>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</si>
  <si>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</si>
  <si>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</si>
  <si>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</si>
  <si>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</si>
  <si>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</si>
  <si>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</si>
  <si>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</si>
  <si>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</si>
  <si>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</si>
  <si>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</si>
  <si>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</si>
  <si>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</si>
  <si>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</si>
  <si>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</si>
  <si>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</si>
  <si>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</si>
  <si>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</si>
  <si>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</si>
  <si>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</si>
  <si>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</si>
  <si>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</si>
  <si>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</si>
  <si>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</si>
  <si>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</si>
  <si>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</si>
  <si>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</si>
  <si>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</si>
  <si>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</si>
  <si>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</si>
  <si>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</si>
  <si>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</si>
  <si>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</si>
  <si>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</si>
  <si>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</si>
  <si>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</si>
  <si>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</si>
  <si>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</si>
  <si>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</si>
  <si>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</si>
  <si>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</si>
  <si>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</si>
  <si>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</si>
  <si>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</si>
  <si>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</si>
  <si>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</si>
  <si>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</si>
  <si>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</si>
  <si>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</si>
  <si>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</si>
  <si>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</si>
  <si>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</si>
  <si>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</si>
  <si>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</si>
  <si>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</si>
  <si>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</si>
  <si>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</si>
  <si>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</si>
  <si>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</si>
  <si>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</si>
  <si>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</si>
  <si>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</si>
  <si>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</si>
  <si>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</si>
  <si>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</si>
  <si>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</si>
  <si>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</si>
  <si>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</si>
  <si>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</si>
  <si>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</si>
  <si>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</si>
  <si>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</si>
  <si>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</si>
  <si>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</si>
  <si>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</si>
  <si>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</si>
  <si>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</si>
  <si>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</si>
  <si>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</si>
  <si>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</si>
  <si>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</si>
  <si>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</si>
  <si>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</si>
  <si>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</si>
  <si>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</si>
  <si>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</si>
  <si>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</si>
  <si>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</si>
  <si>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</si>
  <si>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</si>
  <si>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</si>
  <si>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</si>
  <si>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</si>
  <si>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</si>
  <si>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</si>
  <si>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</si>
  <si>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</si>
  <si>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</si>
  <si>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</si>
  <si>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</si>
  <si>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</si>
  <si>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</si>
  <si>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</si>
  <si>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</si>
  <si>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</si>
  <si>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</si>
  <si>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</si>
  <si>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</si>
  <si>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</si>
  <si>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</si>
  <si>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</si>
  <si>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</si>
  <si>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</si>
  <si>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</si>
  <si>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</si>
  <si>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</si>
  <si>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</si>
  <si>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</si>
  <si>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</si>
  <si>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</si>
  <si>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</si>
  <si>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</si>
  <si>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</si>
  <si>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</si>
  <si>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</si>
  <si>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</si>
  <si>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</si>
  <si>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</si>
  <si>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</si>
  <si>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</si>
  <si>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</si>
  <si>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</si>
  <si>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</si>
  <si>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</si>
  <si>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</si>
  <si>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</si>
  <si>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</si>
  <si>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</si>
  <si>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</si>
  <si>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</si>
  <si>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</si>
  <si>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</si>
  <si>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</si>
  <si>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</si>
  <si>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</si>
  <si>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</si>
  <si>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</si>
  <si>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</si>
  <si>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</si>
  <si>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</si>
  <si>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</si>
  <si>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</si>
  <si>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</si>
  <si>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</si>
  <si>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</si>
  <si>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</si>
  <si>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</si>
  <si>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</si>
  <si>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</si>
  <si>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</si>
  <si>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</si>
  <si>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</si>
  <si>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</si>
  <si>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</si>
  <si>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</si>
  <si>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</si>
  <si>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</si>
  <si>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</si>
  <si>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</si>
  <si>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</si>
  <si>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</si>
  <si>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</si>
  <si>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</si>
  <si>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</si>
  <si>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</si>
  <si>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</si>
  <si>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</si>
  <si>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</si>
  <si>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</si>
  <si>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</si>
  <si>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</si>
  <si>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</si>
  <si>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</si>
  <si>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</si>
  <si>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</si>
  <si>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</si>
  <si>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</si>
  <si>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</si>
  <si>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</si>
  <si>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</si>
  <si>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</si>
  <si>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</si>
  <si>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</si>
  <si>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</si>
  <si>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</si>
  <si>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</si>
  <si>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</si>
  <si>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</si>
  <si>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</si>
  <si>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</si>
  <si>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</si>
  <si>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</si>
  <si>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</si>
  <si>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</si>
  <si>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</si>
  <si>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</si>
  <si>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</si>
  <si>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</si>
  <si>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</si>
  <si>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</si>
  <si>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</si>
  <si>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</si>
  <si>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</si>
  <si>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</si>
  <si>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</si>
  <si>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</si>
  <si>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</si>
  <si>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</si>
  <si>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</si>
  <si>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</si>
  <si>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</si>
  <si>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</si>
  <si>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</si>
  <si>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</si>
  <si>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</si>
  <si>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</si>
  <si>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</si>
  <si>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</si>
  <si>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</si>
  <si>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</si>
  <si>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</si>
  <si>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</si>
  <si>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</si>
  <si>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</si>
  <si>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</si>
  <si>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</si>
  <si>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</si>
  <si>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</si>
  <si>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</si>
  <si>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</si>
  <si>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</si>
  <si>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</si>
  <si>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</si>
  <si>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</si>
  <si>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</si>
  <si>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</si>
  <si>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</si>
  <si>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</si>
  <si>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</si>
  <si>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</si>
  <si>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</si>
  <si>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</si>
  <si>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</si>
  <si>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</si>
  <si>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</si>
  <si>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</si>
  <si>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</si>
  <si>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</si>
  <si>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</si>
  <si>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</si>
  <si>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</si>
  <si>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</si>
  <si>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</si>
  <si>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</si>
  <si>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</si>
  <si>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</si>
  <si>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</si>
  <si>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</si>
  <si>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</si>
  <si>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</si>
  <si>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</si>
  <si>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</si>
  <si>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</si>
  <si>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</si>
  <si>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</si>
  <si>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</si>
  <si>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</si>
  <si>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</si>
  <si>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</si>
  <si>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</si>
  <si>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</si>
  <si>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</si>
  <si>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</si>
  <si>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</si>
  <si>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</si>
  <si>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</si>
  <si>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</si>
  <si>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</si>
  <si>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</si>
  <si>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</si>
  <si>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</si>
  <si>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</si>
  <si>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</si>
  <si>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</si>
  <si>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</si>
  <si>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</si>
  <si>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</si>
  <si>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</si>
  <si>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</si>
  <si>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</si>
  <si>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</si>
  <si>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</si>
  <si>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</si>
  <si>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</si>
  <si>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</si>
  <si>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</si>
  <si>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</si>
  <si>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</si>
  <si>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</si>
  <si>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</si>
  <si>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</si>
  <si>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</si>
  <si>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</si>
  <si>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</si>
  <si>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</si>
  <si>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</si>
  <si>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</si>
  <si>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</si>
  <si>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</si>
  <si>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</si>
  <si>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</si>
  <si>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</si>
  <si>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</si>
  <si>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</si>
  <si>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</si>
  <si>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</si>
  <si>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</si>
  <si>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</si>
  <si>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</si>
  <si>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</si>
  <si>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</si>
  <si>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</si>
  <si>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</si>
  <si>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</si>
  <si>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</si>
  <si>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</si>
  <si>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</si>
  <si>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</si>
  <si>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</si>
  <si>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</si>
  <si>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</si>
  <si>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</si>
  <si>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</si>
  <si>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</si>
  <si>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</si>
  <si>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</si>
  <si>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</si>
  <si>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</si>
  <si>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</si>
  <si>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</si>
  <si>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</si>
  <si>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</si>
  <si>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</si>
  <si>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</si>
  <si>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</si>
  <si>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</si>
  <si>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</si>
  <si>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</si>
  <si>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</si>
  <si>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</si>
  <si>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</si>
  <si>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</si>
  <si>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</si>
  <si>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</si>
  <si>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</si>
  <si>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</si>
  <si>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</si>
  <si>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</si>
  <si>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</si>
  <si>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</si>
  <si>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</si>
  <si>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</si>
  <si>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</si>
  <si>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</si>
  <si>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</si>
  <si>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</si>
  <si>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</si>
  <si>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</si>
  <si>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</si>
  <si>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</si>
  <si>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</si>
  <si>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</si>
  <si>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</si>
  <si>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</si>
  <si>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</si>
  <si>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</si>
  <si>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</si>
  <si>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</si>
  <si>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</si>
  <si>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</si>
  <si>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</si>
  <si>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</si>
  <si>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</si>
  <si>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</si>
  <si>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</si>
  <si>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</si>
  <si>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</si>
  <si>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</si>
  <si>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</si>
  <si>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</si>
  <si>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</si>
  <si>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</si>
  <si>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</si>
  <si>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</si>
  <si>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</si>
  <si>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</si>
  <si>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</si>
  <si>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</si>
  <si>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</si>
  <si>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</si>
  <si>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</si>
  <si>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</si>
  <si>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</si>
  <si>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</si>
  <si>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</si>
  <si>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</si>
  <si>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</si>
  <si>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</si>
  <si>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</si>
  <si>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</si>
  <si>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</si>
  <si>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</si>
  <si>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</si>
  <si>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</si>
  <si>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</si>
  <si>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</si>
  <si>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</si>
  <si>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</si>
  <si>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</si>
  <si>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</si>
  <si>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</si>
  <si>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</si>
  <si>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</si>
  <si>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</si>
  <si>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</si>
  <si>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</si>
  <si>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</si>
  <si>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</si>
  <si>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</si>
  <si>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</si>
  <si>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</si>
  <si>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</si>
  <si>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</si>
  <si>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</si>
  <si>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</si>
  <si>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</si>
  <si>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</si>
  <si>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</si>
  <si>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</si>
  <si>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</si>
  <si>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</si>
  <si>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</si>
  <si>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</si>
  <si>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</si>
  <si>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</si>
  <si>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</si>
  <si>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</si>
  <si>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</si>
  <si>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</si>
  <si>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</si>
  <si>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</si>
  <si>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</si>
  <si>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</si>
  <si>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</si>
  <si>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</si>
  <si>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</si>
  <si>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</si>
  <si>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</si>
  <si>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</si>
  <si>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</si>
  <si>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</si>
  <si>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</si>
  <si>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</si>
  <si>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</si>
  <si>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</si>
  <si>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</si>
  <si>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</si>
  <si>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</si>
  <si>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</si>
  <si>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</si>
  <si>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</si>
  <si>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</si>
  <si>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</si>
  <si>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</si>
  <si>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</si>
  <si>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</si>
  <si>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</si>
  <si>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</si>
  <si>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</si>
  <si>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</si>
  <si>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</si>
  <si>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</si>
  <si>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</si>
  <si>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</si>
  <si>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</si>
  <si>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</si>
  <si>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</si>
  <si>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</si>
  <si>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</si>
  <si>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</si>
  <si>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</si>
  <si>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</si>
  <si>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</si>
  <si>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</si>
  <si>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</si>
  <si>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</si>
  <si>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</si>
  <si>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</si>
  <si>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</si>
  <si>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</si>
  <si>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</si>
  <si>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</si>
  <si>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</si>
  <si>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</si>
  <si>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</si>
  <si>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</si>
  <si>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</si>
  <si>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</si>
  <si>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</si>
  <si>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</si>
  <si>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</si>
  <si>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</si>
  <si>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</si>
  <si>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</si>
  <si>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</si>
  <si>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</si>
  <si>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</si>
  <si>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</si>
  <si>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</si>
  <si>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</si>
  <si>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</si>
  <si>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</si>
  <si>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</si>
  <si>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</si>
  <si>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</si>
  <si>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</si>
  <si>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</si>
  <si>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</si>
  <si>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</si>
  <si>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</si>
  <si>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</si>
  <si>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</si>
  <si>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</si>
  <si>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</si>
  <si>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</si>
  <si>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</si>
  <si>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</si>
  <si>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</si>
  <si>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</si>
  <si>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</si>
  <si>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</si>
  <si>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</si>
  <si>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</si>
  <si>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</si>
  <si>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</si>
  <si>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</si>
  <si>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</si>
  <si>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</si>
  <si>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</si>
  <si>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</si>
  <si>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</si>
  <si>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</si>
  <si>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</si>
  <si>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</si>
  <si>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</si>
  <si>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</si>
  <si>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</si>
  <si>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</si>
  <si>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</si>
  <si>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</si>
  <si>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</si>
  <si>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</si>
  <si>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</si>
  <si>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</si>
  <si>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</si>
  <si>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</si>
  <si>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</si>
  <si>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</si>
  <si>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</si>
  <si>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</si>
  <si>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</si>
  <si>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</si>
  <si>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</si>
  <si>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</si>
  <si>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</si>
  <si>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</si>
  <si>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</si>
  <si>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</si>
  <si>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</si>
  <si>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</si>
  <si>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</si>
  <si>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</si>
  <si>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</si>
  <si>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</si>
  <si>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</si>
  <si>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</si>
  <si>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</si>
  <si>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</si>
  <si>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</si>
  <si>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</si>
  <si>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</si>
  <si>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</si>
  <si>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</si>
  <si>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</si>
  <si>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</si>
  <si>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</si>
  <si>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</si>
  <si>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</si>
  <si>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</si>
  <si>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</si>
  <si>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</si>
  <si>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</si>
  <si>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</si>
  <si>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</si>
  <si>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</si>
  <si>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</si>
  <si>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</si>
  <si>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</si>
  <si>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</si>
  <si>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</si>
  <si>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</si>
  <si>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</si>
  <si>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</si>
  <si>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</si>
  <si>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</si>
  <si>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</si>
  <si>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</si>
  <si>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</si>
  <si>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</si>
  <si>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</si>
  <si>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</si>
  <si>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</si>
  <si>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</si>
  <si>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</si>
  <si>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</si>
  <si>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</si>
  <si>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</si>
  <si>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</si>
  <si>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</si>
  <si>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</si>
  <si>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</si>
  <si>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</si>
  <si>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</si>
  <si>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</si>
  <si>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</si>
  <si>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</si>
  <si>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</si>
  <si>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</si>
  <si>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</si>
  <si>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</si>
  <si>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</si>
  <si>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</si>
  <si>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</si>
  <si>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</si>
  <si>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</si>
  <si>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</si>
  <si>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</si>
  <si>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</si>
  <si>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</si>
  <si>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</si>
  <si>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</si>
  <si>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</si>
  <si>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</si>
  <si>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</si>
  <si>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</si>
  <si>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</si>
  <si>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</si>
  <si>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</si>
  <si>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</si>
  <si>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</si>
  <si>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</si>
  <si>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</si>
  <si>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</si>
  <si>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</si>
  <si>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</si>
  <si>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</si>
  <si>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</si>
  <si>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</si>
  <si>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</si>
  <si>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</si>
  <si>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</si>
  <si>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</si>
  <si>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</si>
  <si>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</si>
  <si>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</si>
  <si>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</si>
  <si>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</si>
  <si>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</si>
  <si>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</si>
  <si>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</si>
  <si>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</si>
  <si>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</si>
  <si>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</si>
  <si>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</si>
  <si>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</si>
  <si>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</si>
  <si>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</si>
  <si>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</si>
  <si>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</si>
  <si>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</si>
  <si>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</si>
  <si>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</si>
  <si>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</si>
  <si>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</si>
  <si>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</si>
  <si>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</si>
  <si>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</si>
  <si>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</si>
  <si>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</si>
  <si>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</si>
  <si>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</si>
  <si>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</si>
  <si>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</si>
  <si>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</si>
  <si>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</si>
  <si>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</si>
  <si>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</si>
  <si>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</si>
  <si>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</si>
  <si>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</si>
  <si>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</si>
  <si>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</si>
  <si>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</si>
  <si>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</si>
  <si>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</si>
  <si>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</si>
  <si>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</si>
  <si>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</si>
  <si>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</si>
  <si>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</si>
  <si>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</si>
  <si>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</si>
  <si>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</si>
  <si>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</si>
  <si>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</si>
  <si>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</si>
  <si>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</si>
  <si>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</si>
  <si>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</si>
  <si>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</si>
  <si>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</si>
  <si>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</si>
  <si>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</si>
  <si>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</si>
  <si>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</si>
  <si>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</si>
  <si>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</si>
  <si>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</si>
  <si>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</si>
  <si>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</si>
  <si>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</si>
  <si>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</si>
  <si>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</si>
  <si>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</si>
  <si>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</si>
  <si>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</si>
  <si>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</si>
  <si>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</si>
  <si>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</si>
  <si>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</si>
  <si>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</si>
  <si>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</si>
  <si>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</si>
  <si>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</si>
  <si>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</si>
  <si>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</si>
  <si>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</si>
  <si>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</si>
  <si>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</si>
  <si>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</si>
  <si>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</si>
  <si>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</si>
  <si>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</si>
  <si>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</si>
  <si>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</si>
  <si>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</si>
  <si>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</si>
  <si>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</si>
  <si>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</si>
  <si>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</si>
  <si>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</si>
  <si>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</si>
  <si>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</si>
  <si>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</si>
  <si>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</si>
  <si>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</si>
  <si>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</si>
  <si>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</si>
  <si>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</si>
  <si>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</si>
  <si>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</si>
  <si>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</si>
  <si>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</si>
  <si>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</si>
  <si>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</si>
  <si>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</si>
  <si>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</si>
  <si>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</si>
  <si>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</si>
  <si>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</si>
  <si>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</si>
  <si>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</si>
  <si>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</si>
  <si>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</si>
  <si>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</si>
  <si>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</si>
  <si>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</si>
  <si>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</si>
  <si>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</si>
  <si>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</si>
  <si>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</si>
  <si>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</si>
  <si>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</si>
  <si>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</si>
  <si>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</si>
  <si>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</si>
  <si>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</si>
  <si>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</si>
  <si>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</si>
  <si>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</si>
  <si>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</si>
  <si>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</si>
  <si>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</si>
  <si>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</si>
  <si>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</si>
  <si>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</si>
  <si>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</si>
  <si>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</si>
  <si>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</si>
  <si>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</si>
  <si>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</si>
  <si>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</si>
  <si>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</si>
  <si>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</si>
  <si>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</si>
  <si>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</si>
  <si>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</si>
  <si>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</si>
  <si>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</si>
  <si>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</si>
  <si>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</si>
  <si>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</si>
  <si>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</si>
  <si>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</si>
  <si>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</si>
  <si>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</si>
  <si>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</si>
  <si>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</si>
  <si>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</si>
  <si>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</si>
  <si>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</si>
  <si>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</si>
  <si>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</si>
  <si>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</si>
  <si>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</si>
  <si>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</si>
  <si>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</si>
  <si>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</si>
  <si>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</si>
  <si>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</si>
  <si>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</si>
  <si>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</si>
  <si>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</si>
  <si>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</si>
  <si>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</si>
  <si>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</si>
  <si>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</si>
  <si>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</si>
  <si>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</si>
  <si>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</si>
  <si>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</si>
  <si>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</si>
  <si>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</si>
  <si>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</si>
  <si>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</si>
  <si>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</si>
  <si>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</si>
  <si>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</si>
  <si>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</si>
  <si>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</si>
  <si>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</si>
  <si>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</si>
  <si>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</si>
  <si>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</si>
  <si>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</si>
  <si>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</si>
  <si>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</si>
  <si>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</si>
  <si>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</si>
  <si>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</si>
  <si>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</si>
  <si>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</si>
  <si>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</si>
  <si>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</si>
  <si>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</si>
  <si>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</si>
  <si>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</si>
  <si>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</si>
  <si>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</si>
  <si>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</si>
  <si>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</si>
  <si>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</si>
  <si>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</si>
  <si>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</si>
  <si>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</si>
  <si>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</si>
  <si>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</si>
  <si>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</si>
  <si>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</si>
  <si>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</si>
  <si>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</si>
  <si>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</si>
  <si>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</si>
  <si>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</si>
  <si>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</si>
  <si>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</si>
  <si>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</si>
  <si>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</si>
  <si>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</si>
  <si>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</si>
  <si>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</si>
  <si>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</si>
  <si>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</si>
  <si>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</si>
  <si>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</si>
  <si>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</si>
  <si>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</si>
  <si>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</si>
  <si>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</si>
  <si>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</si>
  <si>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</si>
  <si>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</si>
  <si>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</si>
  <si>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</si>
  <si>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</si>
  <si>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</si>
  <si>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</si>
  <si>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</si>
  <si>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</si>
  <si>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</si>
  <si>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</si>
  <si>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</si>
  <si>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</si>
  <si>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</si>
  <si>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</si>
  <si>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</si>
  <si>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</si>
  <si>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</si>
  <si>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</si>
  <si>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</si>
  <si>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</si>
  <si>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</si>
  <si>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</si>
  <si>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</si>
  <si>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</si>
  <si>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</si>
  <si>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</si>
  <si>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</si>
  <si>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</si>
  <si>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</si>
  <si>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</si>
  <si>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</si>
  <si>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</si>
  <si>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</si>
  <si>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</si>
  <si>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</si>
  <si>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</si>
  <si>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</si>
  <si>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</si>
  <si>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</si>
  <si>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</si>
  <si>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</si>
  <si>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</si>
  <si>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</si>
  <si>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</si>
  <si>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</si>
  <si>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</si>
  <si>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</si>
  <si>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</si>
  <si>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</si>
  <si>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</si>
  <si>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</si>
  <si>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</si>
  <si>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</si>
  <si>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</si>
  <si>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</si>
  <si>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</si>
  <si>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</si>
  <si>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</si>
  <si>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</si>
  <si>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</si>
  <si>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</si>
  <si>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</si>
  <si>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</si>
  <si>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</si>
  <si>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</si>
  <si>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</si>
  <si>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</si>
  <si>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</si>
  <si>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</si>
  <si>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</si>
  <si>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</si>
  <si>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</si>
  <si>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</si>
  <si>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</si>
  <si>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</si>
  <si>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</si>
  <si>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</si>
  <si>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</si>
  <si>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</si>
  <si>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</si>
  <si>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</si>
  <si>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</si>
  <si>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</si>
  <si>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</si>
  <si>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</si>
  <si>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</si>
  <si>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</si>
  <si>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</si>
  <si>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</si>
  <si>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</si>
  <si>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</si>
  <si>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</si>
  <si>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</si>
  <si>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</si>
  <si>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</si>
  <si>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</si>
  <si>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</si>
  <si>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</si>
  <si>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</si>
  <si>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</si>
  <si>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</si>
  <si>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</si>
  <si>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</si>
  <si>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</si>
  <si>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</si>
  <si>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</si>
  <si>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</si>
  <si>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</si>
  <si>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</si>
  <si>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</si>
  <si>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</si>
  <si>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</si>
  <si>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</si>
  <si>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</si>
  <si>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</si>
  <si>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</si>
  <si>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</si>
  <si>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</si>
  <si>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</si>
  <si>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</si>
  <si>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</si>
  <si>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</si>
  <si>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</si>
  <si>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</si>
  <si>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</si>
  <si>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</si>
  <si>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</si>
  <si>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</si>
  <si>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</si>
  <si>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</si>
  <si>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</si>
  <si>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</si>
  <si>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</si>
  <si>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</si>
  <si>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</si>
  <si>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</si>
  <si>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</si>
  <si>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</si>
  <si>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</si>
  <si>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</si>
  <si>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</si>
  <si>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</si>
  <si>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</si>
  <si>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</si>
  <si>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</si>
  <si>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</si>
  <si>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</si>
  <si>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</si>
  <si>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</si>
  <si>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</si>
  <si>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</si>
  <si>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</si>
  <si>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</si>
  <si>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</si>
  <si>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</si>
  <si>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</si>
  <si>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</si>
  <si>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</si>
  <si>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</si>
  <si>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</si>
  <si>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</si>
  <si>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</si>
  <si>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</si>
  <si>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</si>
  <si>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</si>
  <si>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</si>
  <si>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</si>
  <si>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</si>
  <si>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</si>
  <si>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</si>
  <si>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</si>
  <si>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</si>
  <si>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</si>
  <si>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</si>
  <si>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</si>
  <si>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</si>
  <si>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</si>
  <si>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</si>
  <si>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</si>
  <si>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</si>
  <si>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</si>
  <si>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</si>
  <si>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</si>
  <si>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</si>
  <si>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</si>
  <si>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</si>
  <si>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</si>
  <si>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</si>
  <si>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</si>
  <si>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</si>
  <si>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</si>
  <si>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</si>
  <si>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</si>
  <si>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</si>
  <si>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</si>
  <si>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</si>
  <si>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</si>
  <si>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</si>
  <si>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</si>
  <si>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</si>
  <si>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</si>
  <si>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</si>
  <si>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</si>
  <si>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</si>
  <si>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</si>
  <si>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</si>
  <si>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</si>
  <si>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</si>
  <si>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</si>
  <si>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</si>
  <si>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</si>
  <si>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</si>
  <si>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</si>
  <si>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</si>
  <si>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</si>
  <si>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</si>
  <si>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</si>
  <si>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</si>
  <si>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</si>
  <si>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</si>
  <si>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</si>
  <si>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</si>
  <si>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</si>
  <si>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</si>
  <si>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</si>
  <si>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</si>
  <si>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</si>
  <si>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</si>
  <si>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</si>
  <si>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</si>
  <si>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</si>
  <si>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</si>
  <si>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</si>
  <si>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</si>
  <si>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</si>
  <si>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</si>
  <si>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</si>
  <si>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</si>
  <si>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</si>
  <si>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</si>
  <si>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</si>
  <si>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</si>
  <si>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</si>
  <si>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</si>
  <si>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</si>
  <si>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</si>
  <si>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</si>
  <si>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</si>
  <si>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</si>
  <si>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</si>
  <si>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</si>
  <si>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</si>
  <si>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</si>
  <si>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</si>
  <si>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</si>
  <si>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</si>
  <si>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</si>
  <si>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</si>
  <si>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</si>
  <si>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</si>
  <si>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</si>
  <si>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</si>
  <si>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</si>
  <si>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</si>
  <si>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</si>
  <si>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</si>
  <si>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</si>
  <si>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</si>
  <si>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</si>
  <si>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</si>
  <si>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</si>
  <si>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</si>
  <si>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</si>
  <si>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</si>
  <si>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</si>
  <si>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</si>
  <si>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</si>
  <si>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</si>
  <si>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</si>
  <si>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</si>
  <si>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</si>
  <si>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</si>
  <si>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</si>
  <si>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</si>
  <si>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</si>
  <si>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</si>
  <si>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</si>
  <si>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</si>
  <si>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</si>
  <si>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</si>
  <si>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</si>
  <si>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</si>
  <si>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</si>
  <si>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</si>
  <si>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</si>
  <si>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</si>
  <si>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</si>
  <si>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</si>
  <si>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</si>
  <si>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</si>
  <si>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</si>
  <si>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</si>
  <si>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</si>
  <si>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</si>
  <si>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</si>
  <si>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</si>
  <si>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</si>
  <si>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</si>
  <si>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</si>
  <si>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</si>
  <si>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</si>
  <si>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</si>
  <si>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</si>
  <si>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</si>
  <si>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</si>
  <si>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</si>
  <si>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</si>
  <si>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</si>
  <si>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</si>
  <si>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</si>
  <si>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</si>
  <si>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</si>
  <si>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</si>
  <si>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</si>
  <si>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</si>
  <si>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</si>
  <si>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</si>
  <si>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</si>
  <si>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</si>
  <si>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</si>
  <si>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</si>
  <si>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</si>
  <si>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</si>
  <si>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</si>
  <si>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</si>
  <si>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</si>
  <si>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</si>
  <si>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</si>
  <si>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</si>
  <si>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</si>
  <si>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</si>
  <si>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</si>
  <si>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</si>
  <si>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</si>
  <si>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</si>
  <si>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</si>
  <si>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</si>
  <si>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</si>
  <si>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</si>
  <si>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</si>
  <si>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</si>
  <si>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</si>
  <si>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</si>
  <si>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</si>
  <si>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</si>
  <si>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</si>
  <si>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</si>
  <si>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</si>
  <si>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</si>
  <si>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</si>
  <si>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</si>
  <si>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</si>
  <si>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</si>
  <si>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</si>
  <si>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</si>
  <si>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</si>
  <si>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</si>
  <si>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</si>
  <si>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</si>
  <si>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</si>
  <si>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</si>
  <si>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</si>
  <si>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</si>
  <si>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</si>
  <si>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</si>
  <si>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</si>
  <si>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</si>
  <si>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</si>
  <si>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</si>
  <si>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</si>
  <si>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</si>
  <si>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</si>
  <si>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</si>
  <si>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</si>
  <si>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</si>
  <si>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</si>
  <si>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</si>
  <si>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</si>
  <si>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</si>
  <si>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</si>
  <si>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</si>
  <si>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</si>
  <si>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</si>
  <si>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</si>
  <si>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</si>
  <si>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</si>
  <si>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</si>
  <si>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</si>
  <si>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</si>
  <si>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</si>
  <si>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</si>
  <si>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</si>
  <si>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</si>
  <si>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</si>
  <si>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</si>
  <si>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</si>
  <si>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</si>
  <si>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</si>
  <si>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</si>
  <si>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</si>
  <si>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</si>
  <si>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</si>
  <si>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</si>
  <si>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</si>
  <si>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</si>
  <si>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</si>
  <si>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</si>
  <si>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</si>
  <si>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</si>
  <si>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</si>
  <si>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</si>
  <si>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</si>
  <si>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</si>
  <si>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</si>
  <si>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</si>
  <si>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</si>
  <si>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</si>
  <si>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</si>
  <si>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</si>
  <si>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</si>
  <si>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</si>
  <si>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</si>
  <si>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</si>
  <si>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</si>
  <si>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</si>
  <si>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</si>
  <si>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</si>
  <si>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</si>
  <si>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</si>
  <si>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</si>
  <si>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</si>
  <si>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</si>
  <si>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</si>
  <si>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</si>
  <si>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</si>
  <si>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</si>
  <si>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</si>
  <si>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</si>
  <si>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</si>
  <si>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</si>
  <si>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</si>
  <si>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</si>
  <si>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</si>
  <si>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</si>
  <si>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</si>
  <si>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</si>
  <si>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</si>
  <si>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</si>
  <si>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</si>
  <si>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</si>
  <si>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</si>
  <si>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</si>
  <si>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</si>
  <si>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</si>
  <si>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</si>
  <si>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</si>
  <si>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</si>
  <si>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</si>
  <si>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</si>
  <si>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</si>
  <si>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</si>
  <si>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</si>
  <si>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</si>
  <si>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</si>
  <si>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</si>
  <si>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</si>
  <si>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</si>
  <si>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</si>
  <si>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</si>
  <si>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</si>
  <si>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</si>
  <si>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</si>
  <si>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</si>
  <si>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</si>
  <si>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</si>
  <si>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</si>
  <si>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</si>
  <si>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</si>
  <si>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</si>
  <si>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</si>
  <si>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</si>
  <si>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</si>
  <si>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</si>
  <si>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</si>
  <si>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</si>
  <si>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</si>
  <si>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</si>
  <si>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</si>
  <si>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</si>
  <si>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</si>
  <si>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</si>
  <si>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</si>
  <si>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</si>
  <si>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</si>
  <si>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</si>
  <si>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</si>
  <si>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</si>
  <si>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</si>
  <si>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</si>
  <si>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</si>
  <si>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</si>
  <si>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</si>
  <si>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</si>
  <si>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</si>
  <si>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</si>
  <si>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</si>
  <si>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</si>
  <si>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</si>
  <si>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</si>
  <si>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</si>
  <si>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</si>
  <si>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</si>
  <si>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</si>
  <si>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</si>
  <si>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</si>
  <si>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</si>
  <si>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</si>
  <si>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</si>
  <si>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</si>
  <si>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</si>
  <si>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</si>
  <si>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</si>
  <si>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</si>
  <si>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</si>
  <si>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</si>
  <si>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</si>
  <si>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</si>
  <si>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</si>
  <si>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</si>
  <si>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</si>
  <si>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</si>
  <si>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</si>
  <si>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</si>
  <si>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</si>
  <si>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</si>
  <si>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</si>
  <si>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</si>
  <si>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</si>
  <si>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</si>
  <si>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</si>
  <si>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</si>
  <si>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</si>
  <si>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</si>
  <si>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</si>
  <si>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</si>
  <si>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</si>
  <si>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</si>
  <si>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</si>
  <si>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</si>
  <si>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</si>
  <si>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</si>
  <si>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</si>
  <si>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</si>
  <si>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</si>
  <si>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</si>
  <si>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</si>
  <si>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</si>
  <si>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</si>
  <si>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</si>
  <si>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</si>
  <si>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</si>
  <si>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</si>
  <si>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</si>
  <si>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</si>
  <si>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</si>
  <si>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</si>
  <si>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</si>
  <si>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</si>
  <si>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</si>
  <si>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</si>
  <si>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</si>
  <si>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</si>
  <si>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</si>
  <si>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</si>
  <si>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</si>
  <si>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</si>
  <si>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</si>
  <si>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</si>
  <si>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</si>
  <si>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</si>
  <si>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</si>
  <si>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</si>
  <si>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</si>
  <si>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</si>
  <si>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</si>
  <si>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</si>
  <si>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</si>
  <si>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</si>
  <si>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</si>
  <si>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</si>
  <si>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</si>
  <si>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</si>
  <si>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</si>
  <si>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</si>
  <si>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</si>
  <si>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</si>
  <si>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</si>
  <si>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</si>
  <si>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</si>
  <si>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</si>
  <si>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</si>
  <si>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</si>
  <si>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</si>
  <si>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</si>
  <si>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</si>
  <si>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</si>
  <si>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</si>
  <si>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</si>
  <si>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</si>
  <si>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</si>
  <si>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</si>
  <si>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</si>
  <si>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</si>
  <si>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</si>
  <si>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</si>
  <si>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</si>
  <si>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</si>
  <si>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</si>
  <si>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</si>
  <si>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</si>
  <si>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</si>
  <si>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</si>
  <si>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</si>
  <si>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</si>
  <si>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</si>
  <si>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</si>
  <si>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</si>
  <si>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</si>
  <si>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</si>
  <si>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</si>
  <si>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</si>
  <si>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</si>
  <si>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</si>
  <si>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</si>
  <si>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</si>
  <si>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</si>
  <si>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</si>
  <si>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</si>
  <si>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</si>
  <si>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</si>
  <si>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</si>
  <si>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</si>
  <si>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</si>
  <si>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</si>
  <si>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</si>
  <si>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</si>
  <si>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</si>
  <si>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</si>
  <si>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</si>
  <si>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</si>
  <si>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</si>
  <si>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</si>
  <si>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</si>
  <si>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</si>
  <si>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</si>
  <si>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</si>
  <si>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</si>
  <si>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</si>
  <si>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</si>
  <si>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</si>
  <si>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</si>
  <si>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</si>
  <si>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</si>
  <si>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</si>
  <si>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</si>
  <si>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</si>
  <si>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</si>
  <si>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</si>
  <si>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</si>
  <si>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</si>
  <si>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</si>
  <si>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</si>
  <si>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</si>
  <si>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</si>
  <si>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</si>
  <si>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</si>
  <si>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</si>
  <si>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</si>
  <si>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</si>
  <si>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</si>
  <si>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</si>
  <si>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</si>
  <si>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</si>
  <si>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</si>
  <si>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</si>
  <si>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</si>
  <si>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</si>
  <si>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</si>
  <si>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</si>
  <si>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</si>
  <si>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</si>
  <si>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</si>
  <si>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</si>
  <si>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</si>
  <si>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</si>
  <si>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</si>
  <si>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</si>
  <si>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</si>
  <si>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</si>
  <si>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</si>
  <si>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</si>
  <si>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</si>
  <si>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</si>
  <si>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</si>
  <si>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</si>
  <si>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</si>
  <si>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</si>
  <si>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</si>
  <si>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</si>
  <si>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</si>
  <si>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</si>
  <si>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</si>
  <si>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</si>
  <si>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</si>
  <si>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</si>
  <si>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</si>
  <si>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</si>
  <si>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</si>
  <si>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</si>
  <si>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</si>
  <si>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</si>
  <si>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</si>
  <si>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</si>
  <si>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</si>
  <si>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</si>
  <si>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</si>
  <si>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</si>
  <si>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</si>
  <si>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</si>
  <si>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</si>
  <si>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</si>
  <si>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</si>
  <si>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</si>
  <si>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</si>
  <si>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</si>
  <si>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</si>
  <si>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</si>
  <si>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</si>
  <si>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</si>
  <si>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</si>
  <si>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</si>
  <si>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</si>
  <si>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</si>
  <si>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</si>
  <si>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</si>
  <si>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</si>
  <si>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</si>
  <si>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</si>
  <si>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</si>
  <si>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</si>
  <si>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</si>
  <si>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</si>
  <si>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</si>
  <si>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</si>
  <si>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</si>
  <si>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</si>
  <si>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</si>
  <si>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</si>
  <si>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</si>
  <si>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</si>
  <si>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</si>
  <si>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</si>
  <si>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</si>
  <si>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</si>
  <si>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</si>
  <si>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</si>
  <si>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</si>
  <si>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</si>
  <si>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</si>
  <si>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</si>
  <si>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</si>
  <si>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</si>
  <si>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</si>
  <si>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</si>
  <si>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</si>
  <si>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</si>
  <si>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</si>
  <si>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</si>
  <si>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</si>
  <si>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</si>
  <si>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</si>
  <si>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</si>
  <si>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</si>
  <si>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</si>
  <si>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</si>
  <si>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</si>
  <si>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</si>
  <si>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</si>
  <si>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</si>
  <si>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</si>
  <si>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</si>
  <si>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</si>
  <si>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</si>
  <si>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</si>
  <si>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</si>
  <si>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</si>
  <si>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</si>
  <si>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</si>
  <si>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</si>
  <si>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</si>
  <si>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</si>
  <si>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</si>
  <si>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</si>
  <si>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</si>
  <si>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</si>
  <si>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</si>
  <si>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</si>
  <si>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</si>
  <si>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</si>
  <si>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</si>
  <si>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</si>
  <si>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</si>
  <si>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</si>
  <si>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</si>
  <si>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</si>
  <si>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</si>
  <si>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</si>
  <si>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</si>
  <si>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</si>
  <si>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</si>
  <si>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</si>
  <si>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</si>
  <si>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</si>
  <si>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</si>
  <si>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</si>
  <si>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</si>
  <si>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</si>
  <si>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</si>
  <si>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</si>
  <si>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</si>
  <si>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</si>
  <si>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</si>
  <si>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</si>
  <si>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</si>
  <si>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</si>
  <si>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</si>
  <si>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</si>
  <si>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</si>
  <si>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</si>
  <si>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</si>
  <si>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</si>
  <si>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</si>
  <si>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</si>
  <si>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</si>
  <si>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</si>
  <si>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</si>
  <si>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</si>
  <si>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</si>
  <si>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</si>
  <si>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</si>
  <si>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</si>
  <si>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</si>
  <si>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</si>
  <si>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</si>
  <si>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</si>
  <si>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</si>
  <si>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</si>
  <si>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</si>
  <si>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</si>
  <si>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</si>
  <si>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</si>
  <si>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</si>
  <si>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</si>
  <si>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</si>
  <si>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</si>
  <si>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</si>
  <si>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</si>
  <si>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</si>
  <si>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</si>
  <si>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</si>
  <si>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</si>
  <si>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</si>
  <si>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</si>
  <si>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</si>
  <si>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</si>
  <si>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</si>
  <si>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</si>
  <si>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</si>
  <si>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</si>
  <si>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</si>
  <si>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</si>
  <si>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</si>
  <si>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</si>
  <si>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</si>
  <si>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</si>
  <si>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</si>
  <si>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</si>
  <si>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</si>
  <si>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</si>
  <si>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</si>
  <si>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</si>
  <si>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</si>
  <si>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</si>
  <si>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</si>
  <si>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</si>
  <si>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</si>
  <si>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</si>
  <si>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</si>
  <si>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</si>
  <si>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</si>
  <si>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</si>
  <si>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</si>
  <si>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</si>
  <si>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</si>
  <si>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</si>
  <si>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</si>
  <si>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</si>
  <si>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</si>
  <si>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</si>
  <si>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</si>
  <si>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</si>
  <si>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</si>
  <si>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</si>
  <si>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</si>
  <si>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</si>
  <si>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</si>
  <si>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</si>
  <si>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</si>
  <si>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</si>
  <si>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</si>
  <si>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</si>
  <si>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</si>
  <si>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</si>
  <si>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</si>
  <si>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</si>
  <si>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</si>
  <si>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</si>
  <si>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</si>
  <si>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</si>
  <si>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</si>
  <si>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</si>
  <si>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</si>
  <si>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</si>
  <si>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</si>
  <si>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</si>
  <si>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</si>
  <si>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</si>
  <si>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</si>
  <si>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</si>
  <si>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</si>
  <si>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</si>
  <si>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</si>
  <si>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</si>
  <si>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</si>
  <si>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</si>
  <si>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</si>
  <si>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</si>
  <si>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</si>
  <si>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</si>
  <si>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</si>
  <si>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</si>
  <si>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</si>
  <si>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</si>
  <si>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</si>
  <si>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</si>
  <si>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</si>
  <si>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</si>
  <si>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</si>
  <si>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</si>
  <si>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</si>
  <si>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</si>
  <si>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</si>
  <si>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</si>
  <si>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</si>
  <si>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</si>
  <si>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</si>
  <si>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</si>
  <si>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</si>
  <si>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</si>
  <si>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</si>
  <si>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</si>
  <si>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</si>
  <si>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</si>
  <si>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</si>
  <si>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</si>
  <si>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</si>
  <si>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</si>
  <si>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</si>
  <si>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</si>
  <si>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</si>
  <si>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</si>
  <si>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</si>
  <si>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</si>
  <si>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</si>
  <si>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</si>
  <si>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</si>
  <si>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</si>
  <si>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</si>
  <si>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</si>
  <si>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</si>
  <si>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</si>
  <si>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</si>
  <si>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</si>
  <si>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</si>
  <si>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</si>
  <si>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</si>
  <si>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</si>
  <si>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</si>
  <si>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</si>
  <si>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</si>
  <si>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</si>
  <si>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</si>
  <si>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</si>
  <si>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</si>
  <si>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</si>
  <si>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</si>
  <si>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</si>
  <si>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</si>
  <si>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</si>
  <si>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</si>
  <si>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</si>
  <si>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</si>
  <si>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</si>
  <si>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</si>
  <si>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</si>
  <si>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</si>
  <si>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</si>
  <si>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</si>
  <si>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</si>
  <si>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</si>
  <si>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</si>
  <si>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</si>
  <si>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</si>
  <si>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</si>
  <si>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</si>
  <si>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</si>
  <si>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</si>
  <si>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</si>
  <si>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</si>
  <si>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</si>
  <si>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</si>
  <si>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</si>
  <si>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</si>
  <si>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</si>
  <si>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</si>
  <si>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</si>
  <si>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</si>
  <si>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</si>
  <si>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</si>
  <si>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</si>
  <si>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</si>
  <si>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</si>
  <si>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</si>
  <si>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</si>
  <si>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</si>
  <si>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</si>
  <si>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</si>
  <si>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</si>
  <si>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</si>
  <si>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</si>
  <si>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</si>
  <si>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</si>
  <si>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</si>
  <si>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</si>
  <si>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</si>
  <si>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</si>
  <si>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</si>
  <si>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</si>
  <si>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</si>
  <si>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</si>
  <si>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</si>
  <si>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</si>
  <si>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</si>
  <si>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</si>
  <si>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</si>
  <si>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</si>
  <si>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</si>
  <si>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</si>
  <si>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</si>
  <si>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</si>
  <si>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</si>
  <si>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</si>
  <si>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</si>
  <si>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</si>
  <si>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</si>
  <si>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</si>
  <si>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</si>
  <si>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</si>
  <si>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</si>
  <si>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</si>
  <si>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</si>
  <si>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</si>
  <si>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</si>
  <si>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</si>
  <si>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</si>
  <si>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</si>
  <si>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</si>
  <si>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</si>
  <si>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</si>
  <si>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</si>
  <si>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</si>
  <si>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</si>
  <si>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</si>
  <si>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</si>
  <si>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</si>
  <si>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</si>
  <si>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</si>
  <si>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</si>
  <si>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</si>
  <si>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</si>
  <si>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</si>
  <si>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</si>
  <si>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</si>
  <si>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</si>
  <si>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</si>
  <si>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</si>
  <si>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</si>
  <si>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</si>
  <si>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</si>
  <si>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</si>
  <si>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</si>
  <si>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</si>
  <si>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</si>
  <si>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</si>
  <si>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</si>
  <si>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</si>
  <si>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</si>
  <si>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</si>
  <si>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</si>
  <si>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</si>
  <si>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</si>
  <si>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</si>
  <si>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</si>
  <si>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</si>
  <si>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</si>
  <si>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</si>
  <si>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</si>
  <si>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</si>
  <si>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</si>
  <si>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</si>
  <si>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</si>
  <si>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</si>
  <si>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</si>
  <si>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</si>
  <si>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</si>
  <si>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</si>
  <si>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</si>
  <si>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</si>
  <si>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</si>
  <si>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</si>
  <si>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</si>
  <si>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</si>
  <si>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</si>
  <si>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</si>
  <si>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</si>
  <si>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</si>
  <si>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</si>
  <si>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</si>
  <si>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</si>
  <si>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</si>
  <si>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</si>
  <si>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</si>
  <si>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</si>
  <si>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</si>
  <si>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</si>
  <si>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</si>
  <si>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</si>
  <si>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</si>
  <si>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</si>
  <si>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</si>
  <si>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</si>
  <si>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</si>
  <si>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</si>
  <si>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</si>
  <si>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</si>
  <si>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</si>
  <si>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</si>
  <si>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</si>
  <si>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</si>
  <si>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</si>
  <si>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</si>
  <si>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</si>
  <si>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</si>
  <si>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</si>
  <si>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</si>
  <si>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</si>
  <si>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</si>
  <si>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</si>
  <si>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</si>
  <si>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</si>
  <si>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</si>
  <si>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</si>
  <si>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</si>
  <si>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</si>
  <si>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</si>
  <si>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</si>
  <si>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</si>
  <si>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</si>
  <si>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</si>
  <si>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</si>
  <si>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</si>
  <si>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</si>
  <si>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</si>
  <si>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</si>
  <si>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</si>
  <si>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</si>
  <si>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</si>
  <si>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</si>
  <si>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</si>
  <si>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</si>
  <si>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</si>
  <si>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</si>
  <si>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</si>
  <si>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</si>
  <si>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</si>
  <si>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</si>
  <si>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</si>
  <si>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</si>
  <si>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</si>
  <si>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</si>
  <si>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</si>
  <si>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</si>
  <si>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</si>
  <si>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</si>
  <si>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</si>
  <si>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</si>
  <si>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</si>
  <si>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</si>
  <si>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</si>
  <si>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</si>
  <si>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</si>
  <si>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</si>
  <si>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</si>
  <si>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</si>
  <si>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</si>
  <si>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</si>
  <si>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</si>
  <si>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</si>
  <si>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</si>
  <si>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</si>
  <si>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</si>
  <si>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</si>
  <si>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</si>
  <si>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</si>
  <si>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</si>
  <si>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</si>
  <si>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</si>
  <si>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</si>
  <si>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</si>
  <si>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</si>
  <si>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</si>
  <si>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</si>
  <si>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</si>
  <si>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</si>
  <si>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</si>
  <si>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</si>
  <si>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</si>
  <si>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</si>
  <si>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</si>
  <si>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</si>
  <si>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</si>
  <si>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</si>
  <si>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</si>
  <si>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</si>
  <si>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</si>
  <si>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</si>
  <si>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</si>
  <si>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</si>
  <si>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</si>
  <si>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</si>
  <si>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</si>
  <si>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</si>
  <si>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</si>
  <si>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</si>
  <si>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</si>
  <si>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</si>
  <si>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</si>
  <si>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</si>
  <si>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</si>
  <si>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</si>
  <si>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</si>
  <si>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</si>
  <si>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</si>
  <si>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</si>
  <si>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</si>
  <si>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</si>
  <si>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</si>
  <si>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</si>
  <si>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</si>
  <si>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</si>
  <si>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</si>
  <si>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</si>
  <si>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</si>
  <si>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</si>
  <si>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Sum of Quantity</t>
  </si>
  <si>
    <t>Sum of Amount</t>
  </si>
  <si>
    <t>Total Sales</t>
  </si>
  <si>
    <t>Total Quantity Sold</t>
  </si>
  <si>
    <t xml:space="preserve">Total Amount </t>
  </si>
  <si>
    <t>Average Rating</t>
  </si>
  <si>
    <t>Average Delivery Days</t>
  </si>
  <si>
    <t>Qty</t>
  </si>
  <si>
    <t xml:space="preserve">Amount </t>
  </si>
  <si>
    <t xml:space="preserve"> Avg. Rating </t>
  </si>
  <si>
    <t>Avg. Days</t>
  </si>
  <si>
    <t>Values For Display</t>
  </si>
  <si>
    <t>Row Labels</t>
  </si>
  <si>
    <t>Grand Total</t>
  </si>
  <si>
    <t>Female</t>
  </si>
  <si>
    <t>Male</t>
  </si>
  <si>
    <t>Other</t>
  </si>
  <si>
    <t>Unknown</t>
  </si>
  <si>
    <t>Column Labels</t>
  </si>
  <si>
    <t>For Matrix</t>
  </si>
  <si>
    <t>Order Qty Analysis</t>
  </si>
  <si>
    <t>Count of TX ID</t>
  </si>
  <si>
    <t>6 to 10</t>
  </si>
  <si>
    <t>More than 10</t>
  </si>
  <si>
    <t>Product By Qty</t>
  </si>
  <si>
    <t>Geographical Analysis</t>
  </si>
  <si>
    <t>Map Chart Stuff (Qty)</t>
  </si>
  <si>
    <t xml:space="preserve">State </t>
  </si>
  <si>
    <t xml:space="preserve">County </t>
  </si>
  <si>
    <t>Map Chart for Account</t>
  </si>
  <si>
    <t>Shipment Duration Analysis</t>
  </si>
  <si>
    <t>Customer Satisfaction Analysis</t>
  </si>
  <si>
    <t>Jan</t>
  </si>
  <si>
    <t>Feb</t>
  </si>
  <si>
    <t>Mar</t>
  </si>
  <si>
    <t>E-Commerce Dashboard</t>
  </si>
  <si>
    <t>Product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</si>
</sst>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0.0"/>
    <numFmt numFmtId="166" formatCode="0.0%"/>
  </numFmts>
  <fonts count="5" x14ac:knownFonts="1">
    <font>
      <sz val="11"/>
      <color theme="1"/>
      <name val="Aptos Narrow"/>
      <family val="2"/>
      <scheme val="minor"/>
    </font>
    <font>
      <b/>
      <sz val="11"/>
      <color theme="1"/>
      <name val="Aptos Narrow"/>
      <family val="2"/>
      <scheme val="minor"/>
    </font>
    <font>
      <sz val="14"/>
      <color rgb="FF006100"/>
      <name val="Aptos Narrow"/>
      <family val="2"/>
      <scheme val="minor"/>
    </font>
    <font>
      <sz val="9"/>
      <color theme="1"/>
      <name val="Aptos Narrow"/>
      <family val="2"/>
      <scheme val="minor"/>
    </font>
    <font>
      <sz val="48"/>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rgb="FFC6EFCE"/>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0" fontId="2" fillId="3" borderId="0" applyNumberFormat="0" applyBorder="0" applyAlignment="0" applyProtection="0"/>
  </cellStyleXfs>
  <cellXfs count="27">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3" fontId="0" fillId="0" borderId="0" xfId="0" applyNumberFormat="1"/>
    <xf numFmtId="164" fontId="0" fillId="0" borderId="0" xfId="0" applyNumberFormat="1"/>
    <xf numFmtId="165" fontId="0" fillId="0" borderId="0" xfId="0" applyNumberFormat="1"/>
    <xf numFmtId="0" fontId="2" fillId="3" borderId="0" xfId="1"/>
    <xf numFmtId="0" fontId="0" fillId="0" borderId="0" xfId="0" applyAlignment="1">
      <alignment horizontal="center" vertical="center"/>
    </xf>
    <xf numFmtId="3" fontId="0" fillId="0" borderId="0" xfId="0" applyNumberFormat="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166" fontId="3" fillId="0" borderId="1" xfId="0" applyNumberFormat="1" applyFont="1" applyBorder="1"/>
    <xf numFmtId="166" fontId="3" fillId="0" borderId="2" xfId="0" applyNumberFormat="1" applyFont="1" applyBorder="1"/>
    <xf numFmtId="166" fontId="3" fillId="0" borderId="3" xfId="0" applyNumberFormat="1" applyFont="1" applyBorder="1"/>
    <xf numFmtId="166" fontId="3" fillId="0" borderId="4" xfId="0" applyNumberFormat="1" applyFont="1" applyBorder="1"/>
    <xf numFmtId="166" fontId="3" fillId="0" borderId="5" xfId="0" applyNumberFormat="1" applyFont="1" applyBorder="1"/>
    <xf numFmtId="166" fontId="3" fillId="0" borderId="6" xfId="0" applyNumberFormat="1" applyFont="1" applyBorder="1"/>
    <xf numFmtId="166" fontId="3" fillId="0" borderId="7" xfId="0" applyNumberFormat="1" applyFont="1" applyBorder="1"/>
    <xf numFmtId="166" fontId="3" fillId="0" borderId="8" xfId="0" applyNumberFormat="1" applyFont="1" applyBorder="1"/>
    <xf numFmtId="166" fontId="3" fillId="0" borderId="9" xfId="0" applyNumberFormat="1" applyFont="1" applyBorder="1"/>
    <xf numFmtId="0" fontId="0" fillId="0" borderId="0" xfId="0" applyProtection="1">
      <protection hidden="1"/>
    </xf>
    <xf numFmtId="0" fontId="4" fillId="0" borderId="0" xfId="0" applyFont="1" applyAlignment="1" applyProtection="1">
      <alignment horizontal="center"/>
      <protection hidden="1"/>
    </xf>
    <xf numFmtId="0" fontId="0" fillId="0" borderId="0" xfId="0" applyAlignment="1" applyProtection="1">
      <alignment horizontal="center"/>
      <protection hidden="1"/>
    </xf>
  </cellXfs>
  <cellStyles count="2">
    <cellStyle name="Good" xfId="1" builtinId="26"/>
    <cellStyle name="Normal" xfId="0" builtinId="0"/>
  </cellStyles>
  <dxfs count="6">
    <dxf>
      <numFmt numFmtId="0" formatCode="General"/>
    </dxf>
    <dxf>
      <numFmt numFmtId="0" formatCode="General"/>
    </dxf>
    <dxf>
      <numFmt numFmtId="0" formatCode="General"/>
    </dxf>
    <dxf>
      <numFmt numFmtId="167" formatCode="d\-mmm\-yy"/>
    </dxf>
    <dxf>
      <numFmt numFmtId="167" formatCode="d\-mmm\-yy"/>
    </dxf>
    <dxf>
      <fill>
        <gradientFill degree="90">
          <stop position="0">
            <color theme="0"/>
          </stop>
          <stop position="1">
            <color theme="9" tint="-0.25098422193060094"/>
          </stop>
        </gradientFill>
      </fill>
    </dxf>
  </dxfs>
  <tableStyles count="3" defaultTableStyle="TableStyleMedium2" defaultPivotStyle="PivotStyleLight16">
    <tableStyle name="Invisible" pivot="0" table="0" count="0" xr9:uid="{45D7CB63-A521-43E8-ADFC-8912B4C13F32}"/>
    <tableStyle name="Slicer Style 1" pivot="0" table="0" count="4" xr9:uid="{2A64C28D-9C3F-4180-B7E3-BAC2157E6E7F}">
      <tableStyleElement type="wholeTable" dxfId="5"/>
    </tableStyle>
    <tableStyle name="Slicer Style 2" pivot="0" table="0" count="1" xr9:uid="{C4DF7C08-6464-48CE-B98F-49787414F5E8}"/>
  </tableStyles>
  <colors>
    <mruColors>
      <color rgb="FFFF9900"/>
      <color rgb="FFE9D7ED"/>
      <color rgb="FFDBBDE1"/>
    </mruColors>
  </colors>
  <extLst>
    <ext xmlns:x14="http://schemas.microsoft.com/office/spreadsheetml/2009/9/main" uri="{46F421CA-312F-682f-3DD2-61675219B42D}">
      <x14:dxfs count="4">
        <dxf>
          <font>
            <b/>
            <i val="0"/>
          </font>
          <fill>
            <gradientFill degree="90">
              <stop position="0">
                <color theme="0"/>
              </stop>
              <stop position="1">
                <color rgb="FF002060"/>
              </stop>
            </gradientFill>
          </fill>
          <border diagonalUp="0" diagonalDown="0">
            <left/>
            <right/>
            <top/>
            <bottom/>
            <vertical/>
            <horizontal/>
          </border>
        </dxf>
        <dxf>
          <fill>
            <gradientFill degree="90">
              <stop position="0">
                <color theme="0"/>
              </stop>
              <stop position="1">
                <color rgb="FFFFC000"/>
              </stop>
            </gradientFill>
          </fill>
        </dxf>
        <dxf>
          <fill>
            <gradientFill degree="90">
              <stop position="0">
                <color theme="0"/>
              </stop>
              <stop position="1">
                <color theme="9" tint="-0.25098422193060094"/>
              </stop>
            </gradientFill>
          </fill>
        </dxf>
        <dxf>
          <fill>
            <gradientFill degree="90">
              <stop position="0">
                <color theme="0"/>
              </stop>
              <stop position="1">
                <color rgb="FFFFC000"/>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SelectedItemWithData" dxfId="1"/>
          </x14:slicerStyleElements>
        </x14:slicerStyle>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[ecommerce-sales-logistics-dashboard.xlsx]1_pivot!pvt_qty</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solidFill>
                  <a:sysClr val="windowText" lastClr="000000"/>
                </a:solidFill>
              </a:rPr>
              <a:t>Last 13</a:t>
            </a:r>
            <a:r>
              <a:rPr lang="en-IN" baseline="0">
                <a:solidFill>
                  <a:sysClr val="windowText" lastClr="000000"/>
                </a:solidFill>
              </a:rPr>
              <a:t> Weeks Trends - Qty &amp;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'1_pivot'!$B$8</c:f>
              <c:strCache>
                <c:ptCount val="1"/>
                <c:pt idx="0">
                  <c:v>Sum of Quantity</c:v>
                </c:pt>
              </c:strCache>
            </c:strRef>
          </c:tx>
          <c:spPr>
            <a:solidFill>
              <a:schemeClr val="accent1"/>
            </a:solidFill>
            <a:ln>
              <a:noFill/>
            </a:ln>
            <a:effectLst/>
          </c:spPr>
          <c:invertIfNegative val="0"/>
          <c:cat>
            <c:strRef>
              <c:f>'1_pivot'!$A$9:$A$22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'1_pivot'!$B$9:$B$22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extLst>
            <c:ext xmlns:c16="http://schemas.microsoft.com/office/drawing/2014/chart" uri="{C3380CC4-5D6E-409C-BE32-E72D297353CC}">
              <c16:uniqueId val="{00000000-7690-4FFC-BE04-6098FBF80ADF}"/>
            </c:ext>
          </c:extLst>
        </c:ser>
        <c:dLbls>
          <c:showLegendKey val="0"/>
          <c:showVal val="0"/>
          <c:showCatName val="0"/>
          <c:showSerName val="0"/>
          <c:showPercent val="0"/>
          <c:showBubbleSize val="0"/>
        </c:dLbls>
        <c:gapWidth val="150"/>
        <c:axId val="722454655"/>
        <c:axId val="1894857375"/>
      </c:barChart>
      <c:lineChart>
        <c:grouping val="standard"/>
        <c:varyColors val="0"/>
        <c:ser>
          <c:idx val="1"/>
          <c:order val="1"/>
          <c:tx>
            <c:strRef>
              <c:f>'1_pivot'!$C$8</c:f>
              <c:strCache>
                <c:ptCount val="1"/>
                <c:pt idx="0">
                  <c:v>Sum of Amount</c:v>
                </c:pt>
              </c:strCache>
            </c:strRef>
          </c:tx>
          <c:spPr>
            <a:ln w="28575" cap="rnd">
              <a:solidFill>
                <a:schemeClr val="accent2"/>
              </a:solidFill>
              <a:round/>
            </a:ln>
            <a:effectLst/>
          </c:spPr>
          <c:marker>
            <c:symbol val="none"/>
          </c:marker>
          <c:cat>
            <c:strRef>
              <c:f>'1_pivot'!$A$9:$A$22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'1_pivot'!$C$9:$C$22</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7690-4FFC-BE04-6098FBF80ADF}"/>
            </c:ext>
          </c:extLst>
        </c:ser>
        <c:dLbls>
          <c:showLegendKey val="0"/>
          <c:showVal val="0"/>
          <c:showCatName val="0"/>
          <c:showSerName val="0"/>
          <c:showPercent val="0"/>
          <c:showBubbleSize val="0"/>
        </c:dLbls>
        <c:marker val="1"/>
        <c:smooth val="0"/>
        <c:axId val="1912594959"/>
        <c:axId val="430256671"/>
      </c:lineChart>
      <c:catAx>
        <c:axId val="72245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57375"/>
        <c:crosses val="autoZero"/>
        <c:auto val="1"/>
        <c:lblAlgn val="ctr"/>
        <c:lblOffset val="100"/>
        <c:noMultiLvlLbl val="0"/>
      </c:catAx>
      <c:valAx>
        <c:axId val="189485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54655"/>
        <c:crosses val="autoZero"/>
        <c:crossBetween val="between"/>
      </c:valAx>
      <c:valAx>
        <c:axId val="430256671"/>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94959"/>
        <c:crosses val="max"/>
        <c:crossBetween val="between"/>
      </c:valAx>
      <c:catAx>
        <c:axId val="1912594959"/>
        <c:scaling>
          <c:orientation val="minMax"/>
        </c:scaling>
        <c:delete val="1"/>
        <c:axPos val="b"/>
        <c:numFmt formatCode="General" sourceLinked="1"/>
        <c:majorTickMark val="out"/>
        <c:minorTickMark val="none"/>
        <c:tickLblPos val="nextTo"/>
        <c:crossAx val="4302566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[ecommerce-sales-logistics-dashboard.xlsx]3_pivot!pvt_rating</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'3_pivot'!$B$3</c:f>
              <c:strCache>
                <c:ptCount val="1"/>
                <c:pt idx="0">
                  <c:v>Total</c:v>
                </c:pt>
              </c:strCache>
            </c:strRef>
          </c:tx>
          <c:spPr>
            <a:solidFill>
              <a:schemeClr val="accent1"/>
            </a:solidFill>
            <a:ln>
              <a:solidFill>
                <a:schemeClr val="bg1"/>
              </a:solidFill>
            </a:ln>
            <a:effectLst/>
          </c:spPr>
          <c:invertIfNegative val="0"/>
          <c:cat>
            <c:strRef>
              <c:f>'3_pivot'!$A$4:$A$11</c:f>
              <c:strCache>
                <c:ptCount val="7"/>
                <c:pt idx="0">
                  <c:v>1</c:v>
                </c:pt>
                <c:pt idx="1">
                  <c:v>2</c:v>
                </c:pt>
                <c:pt idx="2">
                  <c:v>3</c:v>
                </c:pt>
                <c:pt idx="3">
                  <c:v>4</c:v>
                </c:pt>
                <c:pt idx="4">
                  <c:v>5</c:v>
                </c:pt>
                <c:pt idx="5">
                  <c:v>6 to 10</c:v>
                </c:pt>
                <c:pt idx="6">
                  <c:v>More than 10</c:v>
                </c:pt>
              </c:strCache>
            </c:strRef>
          </c:cat>
          <c:val>
            <c:numRef>
              <c:f>'3_pivot'!$B$4:$B$11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9015-4178-9AC3-DFF9B82CA4AD}"/>
            </c:ext>
          </c:extLst>
        </c:ser>
        <c:dLbls>
          <c:showLegendKey val="0"/>
          <c:showVal val="0"/>
          <c:showCatName val="0"/>
          <c:showSerName val="0"/>
          <c:showPercent val="0"/>
          <c:showBubbleSize val="0"/>
        </c:dLbls>
        <c:gapWidth val="0"/>
        <c:overlap val="-27"/>
        <c:axId val="1329286031"/>
        <c:axId val="1972170047"/>
      </c:barChart>
      <c:catAx>
        <c:axId val="132928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170047"/>
        <c:crosses val="autoZero"/>
        <c:auto val="1"/>
        <c:lblAlgn val="ctr"/>
        <c:lblOffset val="100"/>
        <c:noMultiLvlLbl val="0"/>
      </c:catAx>
      <c:valAx>
        <c:axId val="197217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8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[ecommerce-sales-logistics-dashboard.xlsx]4_pivot!pvt_productbyqty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Which Products are Popular? </a:t>
            </a:r>
            <a:r>
              <a:rPr lang="en-US" sz="1050"/>
              <a:t>Breakdown by </a:t>
            </a:r>
            <a:r>
              <a:rPr lang="en-US" sz="1050" baseline="0"/>
              <a:t> </a:t>
            </a:r>
            <a:r>
              <a:rPr lang="en-US" sz="1050"/>
              <a:t>Gender</a:t>
            </a:r>
          </a:p>
        </c:rich>
      </c:tx>
      <c:layout>
        <c:manualLayout>
          <c:xMode val="edge"/>
          <c:yMode val="edge"/>
          <c:x val="0.15632662325191612"/>
          <c:y val="1.70212765957446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'4_pivot'!$B$3:$B$4</c:f>
              <c:strCache>
                <c:ptCount val="1"/>
                <c:pt idx="0">
                  <c:v>Female</c:v>
                </c:pt>
              </c:strCache>
            </c:strRef>
          </c:tx>
          <c:spPr>
            <a:solidFill>
              <a:schemeClr val="accent1"/>
            </a:solidFill>
            <a:ln>
              <a:noFill/>
            </a:ln>
            <a:effectLst/>
          </c:spPr>
          <c:invertIfNegative val="0"/>
          <c:cat>
            <c:strRef>
              <c:f>'4_pivot'!$A$5:$A$25</c:f>
              <c:strCache>
                <c:ptCount val="20"/>
                <c:pt idx="0">
                  <c:v>Jewelry</c:v>
                </c:pt>
                <c:pt idx="1">
                  <c:v>Baseball Caps</c:v>
                </c:pt>
                <c:pt idx="2">
                  <c:v>Tote Bags</c:v>
                </c:pt>
                <c:pt idx="3">
                  <c:v>Sunglasses</c:v>
                </c:pt>
                <c:pt idx="4">
                  <c:v>Pajama Sets</c:v>
                </c:pt>
                <c:pt idx="5">
                  <c:v>Workout Tops</c:v>
                </c:pt>
                <c:pt idx="6">
                  <c:v>Crop Tops</c:v>
                </c:pt>
                <c:pt idx="7">
                  <c:v>Maxi Dresses</c:v>
                </c:pt>
                <c:pt idx="8">
                  <c:v>Leggings</c:v>
                </c:pt>
                <c:pt idx="9">
                  <c:v>Casual Dresses</c:v>
                </c:pt>
                <c:pt idx="10">
                  <c:v>Hoodies &amp; Sweatshirts</c:v>
                </c:pt>
                <c:pt idx="11">
                  <c:v>Sandals</c:v>
                </c:pt>
                <c:pt idx="12">
                  <c:v>Shorts</c:v>
                </c:pt>
                <c:pt idx="13">
                  <c:v>Graphic Tees</c:v>
                </c:pt>
                <c:pt idx="14">
                  <c:v>Sundresses</c:v>
                </c:pt>
                <c:pt idx="15">
                  <c:v>Bikinis</c:v>
                </c:pt>
                <c:pt idx="16">
                  <c:v>Tank Tops</c:v>
                </c:pt>
                <c:pt idx="17">
                  <c:v>Sneakers</c:v>
                </c:pt>
                <c:pt idx="18">
                  <c:v>Jeans</c:v>
                </c:pt>
                <c:pt idx="19">
                  <c:v>T-Shirts</c:v>
                </c:pt>
              </c:strCache>
            </c:strRef>
          </c:cat>
          <c:val>
            <c:numRef>
              <c:f>'4_pivot'!$B$5:$B$25</c:f>
              <c:numCache>
                <c:formatCode>General</c:formatCode>
                <c:ptCount val="20"/>
                <c:pt idx="0">
                  <c:v>26</c:v>
                </c:pt>
                <c:pt idx="1">
                  <c:v>43</c:v>
                </c:pt>
                <c:pt idx="2">
                  <c:v>75</c:v>
                </c:pt>
                <c:pt idx="3">
                  <c:v>99</c:v>
                </c:pt>
                <c:pt idx="4">
                  <c:v>127</c:v>
                </c:pt>
                <c:pt idx="5">
                  <c:v>146</c:v>
                </c:pt>
                <c:pt idx="6">
                  <c:v>153</c:v>
                </c:pt>
                <c:pt idx="7">
                  <c:v>179</c:v>
                </c:pt>
                <c:pt idx="8">
                  <c:v>189</c:v>
                </c:pt>
                <c:pt idx="9">
                  <c:v>234</c:v>
                </c:pt>
                <c:pt idx="10">
                  <c:v>264</c:v>
                </c:pt>
                <c:pt idx="11">
                  <c:v>296</c:v>
                </c:pt>
                <c:pt idx="12">
                  <c:v>428</c:v>
                </c:pt>
                <c:pt idx="13">
                  <c:v>431</c:v>
                </c:pt>
                <c:pt idx="14">
                  <c:v>445</c:v>
                </c:pt>
                <c:pt idx="15">
                  <c:v>482</c:v>
                </c:pt>
                <c:pt idx="16">
                  <c:v>568</c:v>
                </c:pt>
                <c:pt idx="17">
                  <c:v>627</c:v>
                </c:pt>
                <c:pt idx="18">
                  <c:v>716</c:v>
                </c:pt>
                <c:pt idx="19">
                  <c:v>744</c:v>
                </c:pt>
              </c:numCache>
            </c:numRef>
          </c:val>
          <c:extLst>
            <c:ext xmlns:c16="http://schemas.microsoft.com/office/drawing/2014/chart" uri="{C3380CC4-5D6E-409C-BE32-E72D297353CC}">
              <c16:uniqueId val="{00000000-1ABE-48B7-A944-D13005E8DED5}"/>
            </c:ext>
          </c:extLst>
        </c:ser>
        <c:ser>
          <c:idx val="1"/>
          <c:order val="1"/>
          <c:tx>
            <c:strRef>
              <c:f>'4_pivot'!$C$3:$C$4</c:f>
              <c:strCache>
                <c:ptCount val="1"/>
                <c:pt idx="0">
                  <c:v>Male</c:v>
                </c:pt>
              </c:strCache>
            </c:strRef>
          </c:tx>
          <c:spPr>
            <a:solidFill>
              <a:schemeClr val="accent2"/>
            </a:solidFill>
            <a:ln>
              <a:noFill/>
            </a:ln>
            <a:effectLst/>
          </c:spPr>
          <c:invertIfNegative val="0"/>
          <c:cat>
            <c:strRef>
              <c:f>'4_pivot'!$A$5:$A$25</c:f>
              <c:strCache>
                <c:ptCount val="20"/>
                <c:pt idx="0">
                  <c:v>Jewelry</c:v>
                </c:pt>
                <c:pt idx="1">
                  <c:v>Baseball Caps</c:v>
                </c:pt>
                <c:pt idx="2">
                  <c:v>Tote Bags</c:v>
                </c:pt>
                <c:pt idx="3">
                  <c:v>Sunglasses</c:v>
                </c:pt>
                <c:pt idx="4">
                  <c:v>Pajama Sets</c:v>
                </c:pt>
                <c:pt idx="5">
                  <c:v>Workout Tops</c:v>
                </c:pt>
                <c:pt idx="6">
                  <c:v>Crop Tops</c:v>
                </c:pt>
                <c:pt idx="7">
                  <c:v>Maxi Dresses</c:v>
                </c:pt>
                <c:pt idx="8">
                  <c:v>Leggings</c:v>
                </c:pt>
                <c:pt idx="9">
                  <c:v>Casual Dresses</c:v>
                </c:pt>
                <c:pt idx="10">
                  <c:v>Hoodies &amp; Sweatshirts</c:v>
                </c:pt>
                <c:pt idx="11">
                  <c:v>Sandals</c:v>
                </c:pt>
                <c:pt idx="12">
                  <c:v>Shorts</c:v>
                </c:pt>
                <c:pt idx="13">
                  <c:v>Graphic Tees</c:v>
                </c:pt>
                <c:pt idx="14">
                  <c:v>Sundresses</c:v>
                </c:pt>
                <c:pt idx="15">
                  <c:v>Bikinis</c:v>
                </c:pt>
                <c:pt idx="16">
                  <c:v>Tank Tops</c:v>
                </c:pt>
                <c:pt idx="17">
                  <c:v>Sneakers</c:v>
                </c:pt>
                <c:pt idx="18">
                  <c:v>Jeans</c:v>
                </c:pt>
                <c:pt idx="19">
                  <c:v>T-Shirts</c:v>
                </c:pt>
              </c:strCache>
            </c:strRef>
          </c:cat>
          <c:val>
            <c:numRef>
              <c:f>'4_pivot'!$C$5:$C$25</c:f>
              <c:numCache>
                <c:formatCode>General</c:formatCode>
                <c:ptCount val="20"/>
                <c:pt idx="0">
                  <c:v>35</c:v>
                </c:pt>
                <c:pt idx="1">
                  <c:v>90</c:v>
                </c:pt>
                <c:pt idx="2">
                  <c:v>103</c:v>
                </c:pt>
                <c:pt idx="3">
                  <c:v>69</c:v>
                </c:pt>
                <c:pt idx="4">
                  <c:v>118</c:v>
                </c:pt>
                <c:pt idx="5">
                  <c:v>94</c:v>
                </c:pt>
                <c:pt idx="6">
                  <c:v>246</c:v>
                </c:pt>
                <c:pt idx="7">
                  <c:v>76</c:v>
                </c:pt>
                <c:pt idx="8">
                  <c:v>168</c:v>
                </c:pt>
                <c:pt idx="9">
                  <c:v>93</c:v>
                </c:pt>
                <c:pt idx="10">
                  <c:v>318</c:v>
                </c:pt>
                <c:pt idx="11">
                  <c:v>275</c:v>
                </c:pt>
                <c:pt idx="12">
                  <c:v>293</c:v>
                </c:pt>
                <c:pt idx="13">
                  <c:v>187</c:v>
                </c:pt>
                <c:pt idx="14">
                  <c:v>202</c:v>
                </c:pt>
                <c:pt idx="15">
                  <c:v>295</c:v>
                </c:pt>
                <c:pt idx="16">
                  <c:v>306</c:v>
                </c:pt>
                <c:pt idx="17">
                  <c:v>393</c:v>
                </c:pt>
                <c:pt idx="18">
                  <c:v>598</c:v>
                </c:pt>
                <c:pt idx="19">
                  <c:v>713</c:v>
                </c:pt>
              </c:numCache>
            </c:numRef>
          </c:val>
          <c:extLst>
            <c:ext xmlns:c16="http://schemas.microsoft.com/office/drawing/2014/chart" uri="{C3380CC4-5D6E-409C-BE32-E72D297353CC}">
              <c16:uniqueId val="{00000005-1ABE-48B7-A944-D13005E8DED5}"/>
            </c:ext>
          </c:extLst>
        </c:ser>
        <c:ser>
          <c:idx val="2"/>
          <c:order val="2"/>
          <c:tx>
            <c:strRef>
              <c:f>'4_pivot'!$D$3:$D$4</c:f>
              <c:strCache>
                <c:ptCount val="1"/>
                <c:pt idx="0">
                  <c:v>Other</c:v>
                </c:pt>
              </c:strCache>
            </c:strRef>
          </c:tx>
          <c:spPr>
            <a:solidFill>
              <a:schemeClr val="accent3"/>
            </a:solidFill>
            <a:ln>
              <a:noFill/>
            </a:ln>
            <a:effectLst/>
          </c:spPr>
          <c:invertIfNegative val="0"/>
          <c:cat>
            <c:strRef>
              <c:f>'4_pivot'!$A$5:$A$25</c:f>
              <c:strCache>
                <c:ptCount val="20"/>
                <c:pt idx="0">
                  <c:v>Jewelry</c:v>
                </c:pt>
                <c:pt idx="1">
                  <c:v>Baseball Caps</c:v>
                </c:pt>
                <c:pt idx="2">
                  <c:v>Tote Bags</c:v>
                </c:pt>
                <c:pt idx="3">
                  <c:v>Sunglasses</c:v>
                </c:pt>
                <c:pt idx="4">
                  <c:v>Pajama Sets</c:v>
                </c:pt>
                <c:pt idx="5">
                  <c:v>Workout Tops</c:v>
                </c:pt>
                <c:pt idx="6">
                  <c:v>Crop Tops</c:v>
                </c:pt>
                <c:pt idx="7">
                  <c:v>Maxi Dresses</c:v>
                </c:pt>
                <c:pt idx="8">
                  <c:v>Leggings</c:v>
                </c:pt>
                <c:pt idx="9">
                  <c:v>Casual Dresses</c:v>
                </c:pt>
                <c:pt idx="10">
                  <c:v>Hoodies &amp; Sweatshirts</c:v>
                </c:pt>
                <c:pt idx="11">
                  <c:v>Sandals</c:v>
                </c:pt>
                <c:pt idx="12">
                  <c:v>Shorts</c:v>
                </c:pt>
                <c:pt idx="13">
                  <c:v>Graphic Tees</c:v>
                </c:pt>
                <c:pt idx="14">
                  <c:v>Sundresses</c:v>
                </c:pt>
                <c:pt idx="15">
                  <c:v>Bikinis</c:v>
                </c:pt>
                <c:pt idx="16">
                  <c:v>Tank Tops</c:v>
                </c:pt>
                <c:pt idx="17">
                  <c:v>Sneakers</c:v>
                </c:pt>
                <c:pt idx="18">
                  <c:v>Jeans</c:v>
                </c:pt>
                <c:pt idx="19">
                  <c:v>T-Shirts</c:v>
                </c:pt>
              </c:strCache>
            </c:strRef>
          </c:cat>
          <c:val>
            <c:numRef>
              <c:f>'4_pivot'!$D$5:$D$25</c:f>
              <c:numCache>
                <c:formatCode>General</c:formatCode>
                <c:ptCount val="20"/>
                <c:pt idx="0">
                  <c:v>4</c:v>
                </c:pt>
                <c:pt idx="1">
                  <c:v>8</c:v>
                </c:pt>
                <c:pt idx="2">
                  <c:v>4</c:v>
                </c:pt>
                <c:pt idx="3">
                  <c:v>3</c:v>
                </c:pt>
                <c:pt idx="4">
                  <c:v>13</c:v>
                </c:pt>
                <c:pt idx="5">
                  <c:v>4</c:v>
                </c:pt>
                <c:pt idx="6">
                  <c:v>30</c:v>
                </c:pt>
                <c:pt idx="7">
                  <c:v>3</c:v>
                </c:pt>
                <c:pt idx="8">
                  <c:v>10</c:v>
                </c:pt>
                <c:pt idx="9">
                  <c:v>19</c:v>
                </c:pt>
                <c:pt idx="10">
                  <c:v>15</c:v>
                </c:pt>
                <c:pt idx="11">
                  <c:v>9</c:v>
                </c:pt>
                <c:pt idx="13">
                  <c:v>14</c:v>
                </c:pt>
                <c:pt idx="14">
                  <c:v>14</c:v>
                </c:pt>
                <c:pt idx="15">
                  <c:v>8</c:v>
                </c:pt>
                <c:pt idx="16">
                  <c:v>22</c:v>
                </c:pt>
                <c:pt idx="17">
                  <c:v>29</c:v>
                </c:pt>
                <c:pt idx="18">
                  <c:v>18</c:v>
                </c:pt>
                <c:pt idx="19">
                  <c:v>90</c:v>
                </c:pt>
              </c:numCache>
            </c:numRef>
          </c:val>
          <c:extLst>
            <c:ext xmlns:c16="http://schemas.microsoft.com/office/drawing/2014/chart" uri="{C3380CC4-5D6E-409C-BE32-E72D297353CC}">
              <c16:uniqueId val="{00000006-1ABE-48B7-A944-D13005E8DED5}"/>
            </c:ext>
          </c:extLst>
        </c:ser>
        <c:ser>
          <c:idx val="3"/>
          <c:order val="3"/>
          <c:tx>
            <c:strRef>
              <c:f>'4_pivot'!$E$3:$E$4</c:f>
              <c:strCache>
                <c:ptCount val="1"/>
                <c:pt idx="0">
                  <c:v>Unknown</c:v>
                </c:pt>
              </c:strCache>
            </c:strRef>
          </c:tx>
          <c:spPr>
            <a:solidFill>
              <a:schemeClr val="accent4"/>
            </a:solidFill>
            <a:ln>
              <a:noFill/>
            </a:ln>
            <a:effectLst/>
          </c:spPr>
          <c:invertIfNegative val="0"/>
          <c:cat>
            <c:strRef>
              <c:f>'4_pivot'!$A$5:$A$25</c:f>
              <c:strCache>
                <c:ptCount val="20"/>
                <c:pt idx="0">
                  <c:v>Jewelry</c:v>
                </c:pt>
                <c:pt idx="1">
                  <c:v>Baseball Caps</c:v>
                </c:pt>
                <c:pt idx="2">
                  <c:v>Tote Bags</c:v>
                </c:pt>
                <c:pt idx="3">
                  <c:v>Sunglasses</c:v>
                </c:pt>
                <c:pt idx="4">
                  <c:v>Pajama Sets</c:v>
                </c:pt>
                <c:pt idx="5">
                  <c:v>Workout Tops</c:v>
                </c:pt>
                <c:pt idx="6">
                  <c:v>Crop Tops</c:v>
                </c:pt>
                <c:pt idx="7">
                  <c:v>Maxi Dresses</c:v>
                </c:pt>
                <c:pt idx="8">
                  <c:v>Leggings</c:v>
                </c:pt>
                <c:pt idx="9">
                  <c:v>Casual Dresses</c:v>
                </c:pt>
                <c:pt idx="10">
                  <c:v>Hoodies &amp; Sweatshirts</c:v>
                </c:pt>
                <c:pt idx="11">
                  <c:v>Sandals</c:v>
                </c:pt>
                <c:pt idx="12">
                  <c:v>Shorts</c:v>
                </c:pt>
                <c:pt idx="13">
                  <c:v>Graphic Tees</c:v>
                </c:pt>
                <c:pt idx="14">
                  <c:v>Sundresses</c:v>
                </c:pt>
                <c:pt idx="15">
                  <c:v>Bikinis</c:v>
                </c:pt>
                <c:pt idx="16">
                  <c:v>Tank Tops</c:v>
                </c:pt>
                <c:pt idx="17">
                  <c:v>Sneakers</c:v>
                </c:pt>
                <c:pt idx="18">
                  <c:v>Jeans</c:v>
                </c:pt>
                <c:pt idx="19">
                  <c:v>T-Shirts</c:v>
                </c:pt>
              </c:strCache>
            </c:strRef>
          </c:cat>
          <c:val>
            <c:numRef>
              <c:f>'4_pivot'!$E$5:$E$25</c:f>
              <c:numCache>
                <c:formatCode>General</c:formatCode>
                <c:ptCount val="20"/>
                <c:pt idx="1">
                  <c:v>6</c:v>
                </c:pt>
                <c:pt idx="2">
                  <c:v>6</c:v>
                </c:pt>
                <c:pt idx="3">
                  <c:v>24</c:v>
                </c:pt>
                <c:pt idx="4">
                  <c:v>12</c:v>
                </c:pt>
                <c:pt idx="5">
                  <c:v>28</c:v>
                </c:pt>
                <c:pt idx="6">
                  <c:v>8</c:v>
                </c:pt>
                <c:pt idx="8">
                  <c:v>31</c:v>
                </c:pt>
                <c:pt idx="9">
                  <c:v>24</c:v>
                </c:pt>
                <c:pt idx="10">
                  <c:v>9</c:v>
                </c:pt>
                <c:pt idx="11">
                  <c:v>23</c:v>
                </c:pt>
                <c:pt idx="12">
                  <c:v>24</c:v>
                </c:pt>
                <c:pt idx="13">
                  <c:v>15</c:v>
                </c:pt>
                <c:pt idx="14">
                  <c:v>39</c:v>
                </c:pt>
                <c:pt idx="15">
                  <c:v>22</c:v>
                </c:pt>
                <c:pt idx="16">
                  <c:v>16</c:v>
                </c:pt>
                <c:pt idx="17">
                  <c:v>137</c:v>
                </c:pt>
                <c:pt idx="18">
                  <c:v>214</c:v>
                </c:pt>
                <c:pt idx="19">
                  <c:v>98</c:v>
                </c:pt>
              </c:numCache>
            </c:numRef>
          </c:val>
          <c:extLst>
            <c:ext xmlns:c16="http://schemas.microsoft.com/office/drawing/2014/chart" uri="{C3380CC4-5D6E-409C-BE32-E72D297353CC}">
              <c16:uniqueId val="{00000007-1ABE-48B7-A944-D13005E8DED5}"/>
            </c:ext>
          </c:extLst>
        </c:ser>
        <c:dLbls>
          <c:showLegendKey val="0"/>
          <c:showVal val="0"/>
          <c:showCatName val="0"/>
          <c:showSerName val="0"/>
          <c:showPercent val="0"/>
          <c:showBubbleSize val="0"/>
        </c:dLbls>
        <c:gapWidth val="10"/>
        <c:overlap val="100"/>
        <c:axId val="1329284175"/>
        <c:axId val="1972188767"/>
      </c:barChart>
      <c:catAx>
        <c:axId val="1329284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188767"/>
        <c:crosses val="autoZero"/>
        <c:auto val="1"/>
        <c:lblAlgn val="ctr"/>
        <c:lblOffset val="100"/>
        <c:noMultiLvlLbl val="0"/>
      </c:catAx>
      <c:valAx>
        <c:axId val="19721887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84175"/>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89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[ecommerce-sales-logistics-dashboard.xlsx]4_pivot!pvt_qtybygender</c:name>
    <c:fmtId val="33"/>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layout>
            <c:manualLayout>
              <c:x val="-7.10375207026296E-2"/>
              <c:y val="5.3333310936141904E-3"/>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5898873681064699"/>
              <c:y val="-7.999996640421358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dLbl>
          <c:idx val="0"/>
          <c:showLegendKey val="0"/>
          <c:showVal val="0"/>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dLbl>
          <c:idx val="0"/>
          <c:layout>
            <c:manualLayout>
              <c:x val="-7.10375207026296E-2"/>
              <c:y val="5.3333310936141904E-3"/>
            </c:manualLayout>
          </c:layout>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0.15898873681064699"/>
              <c:y val="-7.999996640421358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ln>
            <a:noFill/>
          </a:ln>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356602059357964"/>
          <c:y val="0.16826864289022694"/>
          <c:w val="0.66645820714718351"/>
          <c:h val="0.84014125507038895"/>
        </c:manualLayout>
      </c:layout>
      <c:doughnutChart>
        <c:varyColors val="1"/>
        <c:ser>
          <c:idx val="0"/>
          <c:order val="0"/>
          <c:tx>
            <c:strRef>
              <c:f>'4_pivot'!$I$3</c:f>
              <c:strCache>
                <c:ptCount val="1"/>
                <c:pt idx="0">
                  <c:v>Total</c:v>
                </c:pt>
              </c:strCache>
            </c:strRef>
          </c:tx>
          <c:spPr>
            <a:ln>
              <a:noFill/>
            </a:ln>
          </c:spPr>
          <c:explosion val="4"/>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456-4D82-935C-BE5EF64F1F8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456-4D82-935C-BE5EF64F1F8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456-4D82-935C-BE5EF64F1F8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456-4D82-935C-BE5EF64F1F85}"/>
              </c:ext>
            </c:extLst>
          </c:dPt>
          <c:cat>
            <c:strRef>
              <c:f>'4_pivot'!$H$4:$H$8</c:f>
              <c:strCache>
                <c:ptCount val="4"/>
                <c:pt idx="0">
                  <c:v>Female</c:v>
                </c:pt>
                <c:pt idx="1">
                  <c:v>Male</c:v>
                </c:pt>
                <c:pt idx="2">
                  <c:v>Other</c:v>
                </c:pt>
                <c:pt idx="3">
                  <c:v>Unknown</c:v>
                </c:pt>
              </c:strCache>
            </c:strRef>
          </c:cat>
          <c:val>
            <c:numRef>
              <c:f>'4_pivot'!$I$4:$I$8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7456-4D82-935C-BE5EF64F1F8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[ecommerce-sales-logistics-dashboard.xlsx]6_pivot!pvt_duration</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How long we take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'6_pivot'!$B$3</c:f>
              <c:strCache>
                <c:ptCount val="1"/>
                <c:pt idx="0">
                  <c:v>Total</c:v>
                </c:pt>
              </c:strCache>
            </c:strRef>
          </c:tx>
          <c:spPr>
            <a:solidFill>
              <a:schemeClr val="accent1"/>
            </a:solidFill>
            <a:ln w="12700">
              <a:solidFill>
                <a:schemeClr val="bg1"/>
              </a:solidFill>
            </a:ln>
            <a:effectLst/>
          </c:spPr>
          <c:invertIfNegative val="0"/>
          <c:cat>
            <c:strRef>
              <c:f>'6_pivot'!$A$4:$A$19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'6_pivot'!$B$4:$B$19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A232-4307-AC98-C28717871873}"/>
            </c:ext>
          </c:extLst>
        </c:ser>
        <c:dLbls>
          <c:showLegendKey val="0"/>
          <c:showVal val="0"/>
          <c:showCatName val="0"/>
          <c:showSerName val="0"/>
          <c:showPercent val="0"/>
          <c:showBubbleSize val="0"/>
        </c:dLbls>
        <c:gapWidth val="0"/>
        <c:overlap val="-27"/>
        <c:axId val="2045071919"/>
        <c:axId val="2082480255"/>
      </c:barChart>
      <c:catAx>
        <c:axId val="204507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80255"/>
        <c:crosses val="autoZero"/>
        <c:auto val="1"/>
        <c:lblAlgn val="ctr"/>
        <c:lblOffset val="100"/>
        <c:noMultiLvlLbl val="0"/>
      </c:catAx>
      <c:valAx>
        <c:axId val="208248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07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[ecommerce-sales-logistics-dashboard.xlsx]6_pivot!pvt_satisfaction</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solidFill>
                  <a:sysClr val="windowText" lastClr="000000"/>
                </a:solidFill>
              </a:rPr>
              <a:t>How satisfied</a:t>
            </a:r>
            <a:r>
              <a:rPr lang="en-IN" baseline="0">
                <a:solidFill>
                  <a:sysClr val="windowText" lastClr="000000"/>
                </a:solidFill>
              </a:rPr>
              <a:t> are our customers?</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'6_pivot'!$B$25:$B$26</c:f>
              <c:strCache>
                <c:ptCount val="1"/>
                <c:pt idx="0">
                  <c:v>1</c:v>
                </c:pt>
              </c:strCache>
            </c:strRef>
          </c:tx>
          <c:spPr>
            <a:solidFill>
              <a:schemeClr val="accent1"/>
            </a:solidFill>
            <a:ln>
              <a:noFill/>
            </a:ln>
            <a:effectLst/>
          </c:spPr>
          <c:invertIfNegative val="0"/>
          <c:cat>
            <c:strRef>
              <c:f>'6_pivot'!$A$27:$A$30</c:f>
              <c:strCache>
                <c:ptCount val="3"/>
                <c:pt idx="0">
                  <c:v>Jan</c:v>
                </c:pt>
                <c:pt idx="1">
                  <c:v>Feb</c:v>
                </c:pt>
                <c:pt idx="2">
                  <c:v>Mar</c:v>
                </c:pt>
              </c:strCache>
            </c:strRef>
          </c:cat>
          <c:val>
            <c:numRef>
              <c:f>'6_pivot'!$B$27:$B$30</c:f>
              <c:numCache>
                <c:formatCode>General</c:formatCode>
                <c:ptCount val="3"/>
                <c:pt idx="0">
                  <c:v>7</c:v>
                </c:pt>
                <c:pt idx="1">
                  <c:v>8</c:v>
                </c:pt>
                <c:pt idx="2">
                  <c:v>6</c:v>
                </c:pt>
              </c:numCache>
            </c:numRef>
          </c:val>
          <c:extLst>
            <c:ext xmlns:c16="http://schemas.microsoft.com/office/drawing/2014/chart" uri="{C3380CC4-5D6E-409C-BE32-E72D297353CC}">
              <c16:uniqueId val="{00000000-573C-4D98-9D1A-A4DD111F84F2}"/>
            </c:ext>
          </c:extLst>
        </c:ser>
        <c:ser>
          <c:idx val="1"/>
          <c:order val="1"/>
          <c:tx>
            <c:strRef>
              <c:f>'6_pivot'!$C$25:$C$26</c:f>
              <c:strCache>
                <c:ptCount val="1"/>
                <c:pt idx="0">
                  <c:v>2</c:v>
                </c:pt>
              </c:strCache>
            </c:strRef>
          </c:tx>
          <c:spPr>
            <a:solidFill>
              <a:schemeClr val="accent2"/>
            </a:solidFill>
            <a:ln>
              <a:noFill/>
            </a:ln>
            <a:effectLst/>
          </c:spPr>
          <c:invertIfNegative val="0"/>
          <c:cat>
            <c:strRef>
              <c:f>'6_pivot'!$A$27:$A$30</c:f>
              <c:strCache>
                <c:ptCount val="3"/>
                <c:pt idx="0">
                  <c:v>Jan</c:v>
                </c:pt>
                <c:pt idx="1">
                  <c:v>Feb</c:v>
                </c:pt>
                <c:pt idx="2">
                  <c:v>Mar</c:v>
                </c:pt>
              </c:strCache>
            </c:strRef>
          </c:cat>
          <c:val>
            <c:numRef>
              <c:f>'6_pivot'!$C$27:$C$30</c:f>
              <c:numCache>
                <c:formatCode>General</c:formatCode>
                <c:ptCount val="3"/>
                <c:pt idx="0">
                  <c:v>37</c:v>
                </c:pt>
                <c:pt idx="1">
                  <c:v>51</c:v>
                </c:pt>
                <c:pt idx="2">
                  <c:v>39</c:v>
                </c:pt>
              </c:numCache>
            </c:numRef>
          </c:val>
          <c:extLst>
            <c:ext xmlns:c16="http://schemas.microsoft.com/office/drawing/2014/chart" uri="{C3380CC4-5D6E-409C-BE32-E72D297353CC}">
              <c16:uniqueId val="{00000004-573C-4D98-9D1A-A4DD111F84F2}"/>
            </c:ext>
          </c:extLst>
        </c:ser>
        <c:ser>
          <c:idx val="2"/>
          <c:order val="2"/>
          <c:tx>
            <c:strRef>
              <c:f>'6_pivot'!$D$25:$D$26</c:f>
              <c:strCache>
                <c:ptCount val="1"/>
                <c:pt idx="0">
                  <c:v>3</c:v>
                </c:pt>
              </c:strCache>
            </c:strRef>
          </c:tx>
          <c:spPr>
            <a:solidFill>
              <a:schemeClr val="accent3"/>
            </a:solidFill>
            <a:ln>
              <a:noFill/>
            </a:ln>
            <a:effectLst/>
          </c:spPr>
          <c:invertIfNegative val="0"/>
          <c:cat>
            <c:strRef>
              <c:f>'6_pivot'!$A$27:$A$30</c:f>
              <c:strCache>
                <c:ptCount val="3"/>
                <c:pt idx="0">
                  <c:v>Jan</c:v>
                </c:pt>
                <c:pt idx="1">
                  <c:v>Feb</c:v>
                </c:pt>
                <c:pt idx="2">
                  <c:v>Mar</c:v>
                </c:pt>
              </c:strCache>
            </c:strRef>
          </c:cat>
          <c:val>
            <c:numRef>
              <c:f>'6_pivot'!$D$27:$D$30</c:f>
              <c:numCache>
                <c:formatCode>General</c:formatCode>
                <c:ptCount val="3"/>
                <c:pt idx="0">
                  <c:v>150</c:v>
                </c:pt>
                <c:pt idx="1">
                  <c:v>182</c:v>
                </c:pt>
                <c:pt idx="2">
                  <c:v>163</c:v>
                </c:pt>
              </c:numCache>
            </c:numRef>
          </c:val>
          <c:extLst>
            <c:ext xmlns:c16="http://schemas.microsoft.com/office/drawing/2014/chart" uri="{C3380CC4-5D6E-409C-BE32-E72D297353CC}">
              <c16:uniqueId val="{00000005-573C-4D98-9D1A-A4DD111F84F2}"/>
            </c:ext>
          </c:extLst>
        </c:ser>
        <c:ser>
          <c:idx val="3"/>
          <c:order val="3"/>
          <c:tx>
            <c:strRef>
              <c:f>'6_pivot'!$E$25:$E$26</c:f>
              <c:strCache>
                <c:ptCount val="1"/>
                <c:pt idx="0">
                  <c:v>4</c:v>
                </c:pt>
              </c:strCache>
            </c:strRef>
          </c:tx>
          <c:spPr>
            <a:solidFill>
              <a:schemeClr val="accent4"/>
            </a:solidFill>
            <a:ln>
              <a:noFill/>
            </a:ln>
            <a:effectLst/>
          </c:spPr>
          <c:invertIfNegative val="0"/>
          <c:cat>
            <c:strRef>
              <c:f>'6_pivot'!$A$27:$A$30</c:f>
              <c:strCache>
                <c:ptCount val="3"/>
                <c:pt idx="0">
                  <c:v>Jan</c:v>
                </c:pt>
                <c:pt idx="1">
                  <c:v>Feb</c:v>
                </c:pt>
                <c:pt idx="2">
                  <c:v>Mar</c:v>
                </c:pt>
              </c:strCache>
            </c:strRef>
          </c:cat>
          <c:val>
            <c:numRef>
              <c:f>'6_pivot'!$E$27:$E$30</c:f>
              <c:numCache>
                <c:formatCode>General</c:formatCode>
                <c:ptCount val="3"/>
                <c:pt idx="0">
                  <c:v>312</c:v>
                </c:pt>
                <c:pt idx="1">
                  <c:v>373</c:v>
                </c:pt>
                <c:pt idx="2">
                  <c:v>351</c:v>
                </c:pt>
              </c:numCache>
            </c:numRef>
          </c:val>
          <c:extLst>
            <c:ext xmlns:c16="http://schemas.microsoft.com/office/drawing/2014/chart" uri="{C3380CC4-5D6E-409C-BE32-E72D297353CC}">
              <c16:uniqueId val="{00000006-573C-4D98-9D1A-A4DD111F84F2}"/>
            </c:ext>
          </c:extLst>
        </c:ser>
        <c:ser>
          <c:idx val="4"/>
          <c:order val="4"/>
          <c:tx>
            <c:strRef>
              <c:f>'6_pivot'!$F$25:$F$26</c:f>
              <c:strCache>
                <c:ptCount val="1"/>
                <c:pt idx="0">
                  <c:v>5</c:v>
                </c:pt>
              </c:strCache>
            </c:strRef>
          </c:tx>
          <c:spPr>
            <a:solidFill>
              <a:schemeClr val="accent5"/>
            </a:solidFill>
            <a:ln>
              <a:noFill/>
            </a:ln>
            <a:effectLst/>
          </c:spPr>
          <c:invertIfNegative val="0"/>
          <c:cat>
            <c:strRef>
              <c:f>'6_pivot'!$A$27:$A$30</c:f>
              <c:strCache>
                <c:ptCount val="3"/>
                <c:pt idx="0">
                  <c:v>Jan</c:v>
                </c:pt>
                <c:pt idx="1">
                  <c:v>Feb</c:v>
                </c:pt>
                <c:pt idx="2">
                  <c:v>Mar</c:v>
                </c:pt>
              </c:strCache>
            </c:strRef>
          </c:cat>
          <c:val>
            <c:numRef>
              <c:f>'6_pivot'!$F$27:$F$30</c:f>
              <c:numCache>
                <c:formatCode>General</c:formatCode>
                <c:ptCount val="3"/>
                <c:pt idx="0">
                  <c:v>224</c:v>
                </c:pt>
                <c:pt idx="1">
                  <c:v>247</c:v>
                </c:pt>
                <c:pt idx="2">
                  <c:v>250</c:v>
                </c:pt>
              </c:numCache>
            </c:numRef>
          </c:val>
          <c:extLst>
            <c:ext xmlns:c16="http://schemas.microsoft.com/office/drawing/2014/chart" uri="{C3380CC4-5D6E-409C-BE32-E72D297353CC}">
              <c16:uniqueId val="{00000004-2984-4017-9447-F1DE470A993A}"/>
            </c:ext>
          </c:extLst>
        </c:ser>
        <c:dLbls>
          <c:showLegendKey val="0"/>
          <c:showVal val="0"/>
          <c:showCatName val="0"/>
          <c:showSerName val="0"/>
          <c:showPercent val="0"/>
          <c:showBubbleSize val="0"/>
        </c:dLbls>
        <c:gapWidth val="219"/>
        <c:overlap val="-27"/>
        <c:axId val="53029439"/>
        <c:axId val="1340932255"/>
      </c:barChart>
      <c:catAx>
        <c:axId val="5302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932255"/>
        <c:crosses val="autoZero"/>
        <c:auto val="1"/>
        <c:lblAlgn val="ctr"/>
        <c:lblOffset val="100"/>
        <c:noMultiLvlLbl val="0"/>
      </c:catAx>
      <c:valAx>
        <c:axId val="134093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solidFill>
                <a:sysClr val="windowText" lastClr="000000"/>
              </a:solidFill>
            </a:defRPr>
          </a:pPr>
          <a:r>
            <a:rPr lang="en-US" sz="1400" b="0" i="0" u="none" strike="noStrike" baseline="0">
              <a:solidFill>
                <a:sysClr val="windowText" lastClr="000000"/>
              </a:solidFill>
              <a:latin typeface="Aptos Narrow" panose="02110004020202020204"/>
            </a:rPr>
            <a:t>Where do our Customers live?</a:t>
          </a:r>
        </a:p>
      </cx:txPr>
    </cx:title>
    <cx:plotArea>
      <cx:plotAreaRegion>
        <cx:series layoutId="regionMap" uniqueId="{00000000-7A30-45FB-B34E-D6F2871FA444}">
          <cx:tx>
            <cx:txData>
              <cx:f>_xlchart.v5.2</cx:f>
              <cx:v>Qty</cx:v>
            </cx:txData>
          </cx:tx>
          <cx:spPr>
            <a:ln>
              <a:solidFill>
                <a:sysClr val="windowText" lastClr="000000">
                  <a:lumMod val="25000"/>
                  <a:lumOff val="75000"/>
                </a:sysClr>
              </a:solidFill>
            </a:ln>
          </cx:spPr>
          <cx:dataId val="0"/>
          <cx:layoutPr>
            <cx:geography cultureLanguage="en-US" cultureRegion="IN" attribution="Powered by Bing">
              <cx:geoCache provider="{E9337A44-BEBE-4D9F-B70C-5C5E7DAFC167}">
                <cx:binary>7H1pc9w40uZfcfjzUk0cJICJ6YkYkHXoKsk67La/MMpSmTfB+/r1m5Rkj4pV8lAbXbHx1m51d3TY
VQkm8SCRJxL/fGj/8RBt1vmHNo6S4h8P7Z8fvbJM//HHH8WDt4nXxUnsP+SqUD/KkwcV/6F+/PAf
Nn885uvGT9w/sI7oHw/eOi837cd//RNGczfqQj2sS18ln6pN3t1siioqi998t/erD+vH2E9svyhz
/6FEf3601pH/Q+WJv/64/R3+8+O/o3W8eVx/sFSVlN3HD5uk9Mvurks3f37cGgd//PDH+HE7rH2I
gPuyegRiwk64TjnmJhFPH/bxQ6QS9+VrDWF8ghmmzISRn5+6AlbexdETP+vHx3xTFPBmT//fHWDr
NWA2/v3fZ+FhmI0BABew+PPjfeKXm8cPt+W63BQfP/iFepquvLPU8Kr3t09z88c2hP/65+gvYLZG
f/MK5fHU/revtoH8ryCnfrI5AMb8xBTEMJFBnzHmI4yROGHwMQxGxyBP5egtjLfoJ0G8RXFkCN+q
aJ2ogyCMDUQ5Y0R/+qARwiDFOhXc0Km5jfB0jvYjPKKfgPCI4sgQvlRJuck33QEwNk9MZg4Is2eM
yRhjdGIaJjXJeKt+D0/7Ud4ZYQLOOzRHhrQFSOeDRi7KQ+hlfqIjLgQhbP+eDRKNCOUGQ7Cbv1bM
7+VrP+J7R5mA+l66I0P+ViUqPgzmlAhTMPyWhOMThkDEKR/p6ekc7Ud7RD8B5xHFkSH873j9qPID
7OH8hIApreMBwG0zWwcTDGNBdPFTgb8W6ukM7Qd4RD8B4BHFkQEsq7I8hKUtTgyECdXfsrQxOjEM
aiKEwUJ7DfBkhvbju00+Ad5tgiNDFzzpdb3J18VBJBgJEyPMXvZocIvHgmxyXcAiGFna72JqP8q7
Q0xAepfo2NBWUVUcQh2LEzwACX7zs8G9AzU4VTonpqDGtjBbkzl6A+dt+ikgb1McGcK36+SD3EB0
5xCus3nCDXCeMTGeDW0xFmh0QnWsm2gs0O/jaj/Se8aYgPYeqiND3N5EH1YKYq5//w5O0QkzKBhb
g3s1fHYinhTknhKIeI5Cnu9iaj/eu0NMgHuX6MjQnkUfbJWDyf33o034CcPCNPBLeFvsiDcY3kJA
7Mww9xne72JtP+a7Q0zAfJfoyDC/VI/q4e/HG6SbCl0YApnP0g1W2Ng+MygG+xxB/Oy1BT6Zof0o
b5NPQHib4MjQnUOu5yCBbvOEEWQaBkLP8I7FeUhlcAP+QSObbDpH+/Ed0U8AeERxZAgvok2S/P3y
S8CDxrqBBN4RXAh4Co4YMUZqeTIn+4HdJp+A6zbBkcG6rOLvKnos/35kKShaDlY03UWWniATER2y
0M9Cvb0xv4el/RDvjDAB5R2aIwP6M+i+6il/Uf3NFQVgPnNwi/W3MhewRUOcE+mmPspcvIOl/TiP
B5gA85jkyFA+jdNN7q+jv1+cCeQiBOYGBSSfPuN0JDJODFDUBoJ49/AZBTzfw9l+tHdGmAD3Ds2x
4Z10h3CiIEaiY9DL7KWAZMfq4qCbhWlyPhLp04n8vIHwa+op6L7+/ZEhe77JD2FuGSeEPeUrnoV0
kNItdwk26yEPjQiGMMlrd2kqP/uR3aKegOzW748M2SGad1H5xYer736RHkJ8DdDI2ESC8qedeAdk
rJ+YgD9kpUCwX4P8f8DafrzfGmgC9G+RHtkqOIdi00Pkq8wTEF0o4KRvhLdBwE34DhKSYwGfytB+
xLffZwLO2wRHhu7tkG8+REGBgCogjCEf+RIPGZd2QsLZHEoDqRilI6dztB/fEf0EgEcUR4bwxTo8
QLICwiGQikBMh8KQp8+eHKRABjI5G+E7lZ/96G5RT8B26/dHhuyggM7UOqv8Qxhg7EQYkI/CFD8D
PHajQICxgO1biOcs9MiNeidz+9HeN8gE0PeRHRn2F+ui2BwAdgiGUSjH5+IFdX0HdjDJ4GvKzZFa
ns7RfqxH9BNgHlEcG8Kq+PDvxN1Em0NYX/RENzAm/Kf1NVbPiJ9gSqAmELb44TOS7ov3MfcG4nsG
mQL7HrIjw/5r9f0wdUMIhBtyGG+ViEERIOhrDqX62+7WVH7247xFPQHgrd8fGbKDarqEY2CH8KbZ
CdRfMwYnqp6zFTv1I3BiDnNEBR1J87uY2o/x7hATgN4lOjK0L9ePUO15gBi3eQK1npBwZC8VgOPo
GAROdBNOYVA0CpxM52g/ziP6CSCPKI4M4buNtz7EkQuwwyA/YYKSfqOeYDj+SijU/qFnS20k0tP5
2o/ziH4CziOKI8P5cp0fystiFPws/aUMbGyHAcwGQWBsi1ECYzJD+/HdJp8A7zbB/wB0f8/i1hsP
x5///dPi2XN2/f1H16GOyzQFej4ysxPWHkKbCA5TgTW2r64ACuN/nbd/Dnrv42k/rq9pt97x+RV/
Pyn/4w6mD4syVQepsX8ypkC/8hdHeKxhAUNhUsbhSNw+DN/D2X4kd0bYA+fWX0E3hh2aI8N7MBjn
+Tp58IsH9RuBhWDke5tNMEhBMUgTP4M5ziPDNgxxMGRwMrKntjiaYujtB3v/MFvw7u88sZ/wyGC/
3CRQk+sfpG4T8hRD7QBjL9UiYznHBIrumUnIUI7/OgX5Lqb2o747xATEd4mODu38AbqlWAfoKEN0
U5jcfBHyHVsLYp8cgiOI0X0xr8vNVL7eQnuLfhLUWxTHhjOcVj8AyhC4hH4xv0DeOUUDihuiIBxi
YKOtHPpCTOLnDXRfU0/B9vXvjwzZ1To9RNADkIUWBBRSyk/iuZuaAJcYMhM62GzbW/VUfvYju0U9
Admt3x8bspt6fZBuXyCUJmZQnPsS0NpJOyEo94LzrDvlAqvJHL2B7jb9FHy3KY4M4Sswr91DFAwQ
KMuF02zcfKvXFzR8M6DLhDnONU3naD/CI/oJCI8ojgzh62j9cJCSH34CWnXA+CXssU+G2VCWjX85
Wa8N6ul87cd5RD8B5xHF0eFcQRPJA1hYEPkgJoOTqy/Rq508k34C9QFw1JGMjrpdR1M5egvhLfpJ
CG9RHBnCNz40Eyn8x8Ns14LrBiEv5de7MUwGBdpMh+rMkRn9Lqb247w7xASod4mODO3b9UMOHU6T
gzSb4CcGg16cUIj9vDfvyPRwfHn4B2ryh88o3fQ+3vajvmeMCbDvoTo63IcmI3myzh8PEwKDU45w
LA5x8lLKOdbbiIHjRXXQ7dtu1RB7fB9jbwG/d5xJ4O+lPMIFYPsbd1J04p2B76fGfcyAA3Pj8zUM
zr4SDqvipZpkF/vJPL0N+/YQExHfJjo+sKFtp1zn39cHqRyhQyJjyCe/UVcw5CYFh8oCaB/19NnB
/X3svYn9nmGm4b+H8CjXgBUdZgWA4QZ1nVC3/1YYHJ1AHgxBrGVkvsN+D3M/ma3fIb89yGTct8mO
DXVvfZCOvVBKBP3TYS8nb5V94hPY6HUOR/FGwj6Zozew3qafAvM2xbEh/CxAedUfwCuHkkAG9WD6
z/5CY4UOKWxo7wpZ7p0DV+/i6g2kd8eYgvYu1ZEhfldB/8P4IHcnwPkcDmY5HMB5zobsJK51kGqM
EMejYu738LQf7Z0RJmC9Q3NkSN/6m/wgBhv0HTJ1QJI/O967WS/9BL4Ekw4uUdjnmU/maz/Wo/ea
gPSI4uhwLkK/U9Xfv4MP/R8JlBjhnzfegLu91fIAdnATbksxoLJ7pKf96Ty9hfJohEk4j2iODely
nfhFtK4OEUNncIpOh5Zh5lvHZyHfqQ8nsNio7hcuEXoHV2+gvTvGFLx3qY4M8Tuo8Ybbqw4g2tBi
DLodQJ33i1O9E17FkDKB7nLQ03lbtN/B0n6sxwNMAHpMcmwoV+BYHyJlAh0tiD4cx3jDIhsqj8Tg
Whuj/ftuMkdvYLxNPwXibYojQ/irig4RK4Xbyhg0mgI5HStm0NwMjspCs8Bt6Z3KyH5Yt6gngLr1
+/8bkL59Pd2vm/7sdbmePd0R+OqGut9/+zQ5cLfhiPSlGHfP0Yhf1V+nj39+hFoxYsC1F68qwoeB
tkp5X3rt/cRum2wDUZk/P2rgSIH1NVyEwqAfEVxuBHq52bx8BTY6E7B7Q3kSXFpoguGWQI9wD24x
pCcCtgQGfpqgJlSnwQIpVPX0FRQWI+g5+XRxFnr66uebXquoc1Xya1pe/vwhqeJr5Sdl8edHWILp
868GbuEFoTIOes+C9QgX8Qi4Ug2+f1jfDK1yYA7+V6trbp3nSbXqu9DK8kq6hSF9HstX87LnMUgH
TTV+kAG+yBAf1jG0Ix8YefUgFJV1ZgY0XemVIe5DL9NMK2ZR1y9h5zNyi5RJRU+LwulvAxy6EmSG
fgk4c7+mKuBnuduJc8TiVKYsN9prryM3pFO1ss3OZcV5HQYF+Va3mcmvGyer63mAFLVrWvvSDLXo
qgmiAs38NFV4ppqoqi2uuU4g/cJJ/vLDTswM3ue6XSQPRkSbFaNpdEUrPY0slIZRN1dOS6yorqQW
FaqRzG8UudJrZIQXdRRc5WXYyDhNWssT11DLsjGK9DHJ3LlT6HeszpZJQxaGZqoF1uEttNSfCerM
RTwz2vjU6brMJmHs20WO7KjLfnjcu+lTukI4/VGR+jZCbjxraB58ZaEqbOGG1aXG0nyVFYZ5Fvni
MhVxNOt7XMhE08gPGhTJkjqevkrKLJ3FtZNJP9KMGW74JSnFqkiKxu4xr23X7/GiTNh9h7S/Iuxl
tgo8I5dl6WImK4I9WBZOPAN30p9BawAYosRzFJr5fU5L0tomT7ybwq21WcVQPhOt3v5FI7+DWcSq
lEVY5TbV8s4OjP4mM0t+5oHgrH6/xjDI5niJQSNs6O42dMMnsKy3l1jW5ZnrtjxfFbN43eQS3fa3
TGoys8plsnSQ9Gx3Fi/YLJ8l0jijczLDS8cK/8taN0CiX/HBIdcNd09CkByaReo6hUN423wYbd5U
buGplYPdsy7yWit0M0emDcWSs1DMstoh8xybuS8drl+6LHfOEGBkhllsdaxbCUfvJMf9t7JVYl5g
J57DDbBzh/ffmOEYMnA0Tzp9+yWLUiZxnnUWKwJit42DJfKCWBpeO+uIWDQosQKntzLKHdkbYtkT
JDuMF9BfC8mszGFRCGrVcbIMWmorQnOp9HTWNO4FdkJPhomP7Dr1ZRwHhQ1CvGpaQRaZG4SyIO69
26glIvFl1XJdajxd6CEsNCYyOq/04Pb3EG9vIjCzkEs24VTFUM5JwN0dbSKix41IYydf6XUcLGAj
iODl9cTSfG9mKJ9Kmrnr3z9yiHptozl65ghNra1ZXoduscpc8tVwcqutXGX3BVvSuLpUmaNL18xT
ybLMMqKilAZNuos+rzzJNeNC+fwv3S8yWRfaDyek8zTLLrEyP+lO/2C42be48TM7S7L0/InxF115
/Xqrf1Bpl/uu93Jn768//utOxfDv0/Wv//nL4crf//xpsVHD/bfF+EfDc3796j9XyA468Nd9siPN
+nxv8E9l9J4v36WTKejpX6e0dnTyS7IJYuW7anmg/KmWh4urOCg+wuFox7OC/amWIV4CHarg0iNi
gO4xGVD9VMtQ0QABs2EdGtCTXRAQ/Z9qebh2BY5d86HzCUUQTv91ufIWVmCQvPz5tVqGowdbyw5G
4hCugTscIHIDpwWBle1NRDiaMl3O06uk9dUcdWZu5zjCdtQmX/yc8BkOciQLnIdWFLIIZLs8zQz0
o1Z6LFUcN2dNVBIZe2Fgl3q1dJU7GwwBm+SKSJVUwbxyo1nAgu+Nk7cS1Zkv6yTOJGjqZMZig4OS
6sS1l8X3Rs5zmTWkk0bYX3Rhd++6pbJ0/4sTkLsYroW+YsjRLNWiRlY+c2d6i/yzOPK+ONQNZ6EQ
n3hYtrKt8AZpeTV3sdbcJZlYmiY7D9K2m+ttMtOK9iZDzVWr0ug00rJVneTSpdnC0IvAqo32Imb5
rVeAbso7dVkYrJduSRahLjzLcYuHzke9VK5bz1jfgVHhOwvXz26p6OZeSw0pYHsr8tw/rSP2DSGP
WU3brGo3szHv3VOnzbhVtfHSU7DrtWHl2VEe2gK0luOibmloCKam8uvzyO9DGRvuSqT+meBhZgcR
aN9SewyCSEg/y5h0lb9o+sa3MoflUqtDCnuz5suqJ/Mq4tfETSJJSmRFLEhB2ZKbIGU3qnjEXP1g
MFzVwZT5WRpaHirWXpVQq3CYLykr7UARLEkaIAnXp0oV1bHsIupbZlcsuRI3XR2o6yxGl1kbtDM9
Q+nMN8BwgF71eNFjfEd7VlthLWzYpe7TpBNnWR0sQ1b6tpk5K71IwURywrnjR+eFKsGqUnYZ6Yuo
SeaqFZWNDP+LoAVdJC0WllPEni2ibN777LLLur+wiuc0qb/RpktPY1LfwAbYS9Q3G3hyO2tJtKlZ
hq7gakoiM9RdBy0nElTOpag056Im+XeUO0yWOcKnvpuY3zwtZrOMVcKYdUmRzfR+boSGI/OgTldg
fLCz1FXFp7ZQOJasc0sBE5Rp0jD5I095c1YbRHKHzfO0XZbEmXcGaWzi5F8FbTyLdmAvhSk8ovBk
WoXLvOkKqzJgirnrLLTY6+9JqpCkuGsskrJbnpnnJeo2kZeFNgqNm8jx3HOzr2d9XK+w19hIBMks
NGkvk8J7DPpUnJaKPbaMuZLwvrCNWhS2QsWnMlMwxfmlE+rcZnmTnimWW7HPwH4J6cxVPYUVziuJ
2g4o2lrJpHE7MHOdH1HqXEd5V9k0LvWr2quUZVYU204fnWc40We9bmZLt+ptDdU2c5KzJsCF7Tv4
a5D2lTTNsrzwqKZfkiY3NrruhHdKp+kyqnmnSRR5jXo2kv6/dho6zr6tnZ4rx3c101Of2heHcejB
AiFc2PohZE+EDgbHL80E1ZTgQ1FiQotTA84d/0czCdBZ0LlFQJG88ax+fmkmuDEINna48wvaakIB
D7iZP3X0BM1EhgYS6ZbLCBerD+lBaC2BoV8BGZnZddfUtKSsuSrbOrRoGX5RdXfDVF3PIuFexSgL
HpRfJ9LvyB0pCWzcRHNuOWt+aJ4+x2DdyZ7AXuBykOEk4jJmoIn83PmeuyGy2gh2y7pKbqiI3IUu
lLNoaueSx1Fieyn7XhH/1qz7L15cmhaOykrilFqt8mLYvdIzkhYxjOgFkohk3kf4Fp5lNyWqJNjl
no2rDsmAV4Hl9OZlGYp76JXiySR0H4OCX9Lc+aTT9spzi6ViKJV13X3Cnq7PKSe1DGh93WKmZpxg
UzLcgtMXhSCZWPZ9ZpGsCk51in3ZpGiJPDDcRamKWeiXHLbzlMxI6CzMMAIrm8Ri6aT0LhelrDth
V4TMqrTQZZYbvuXH3WmPAmqVicelq/efDfEYKwesgPayKOIzVpd/VXrvW2lQtJISv5ZV50TSrMHy
NNpuU+vqtEZszojGpNC9zy6KXSm4ZkU8yiTNYwmO3zLA7KrxGbhqruWq/LPSjO9V1Z0zFS60sLdN
wqysQKeVE37CHUmka5g3HGbIAT0vNZXPmyha5VTcmL7+PWx7Xba6QBIctV4K1tzHmH4NuFjhlDUW
2BZgAleokKJl5yjgd1pEEsvs9c9+HUSySYLznjj3aZuv0ko7d/NQyCKKNlTzvrW1dpeS6qL12ptS
mHPd1P6qtOAhEoEhDaOrrTx1mewjBeZRkf1gXXerV6BxMyouAaaLJmB2lge2Q3+g1Jg5GF6nqfp5
ygbNSP1b5QVLM+BK6i5b9AEzZJ6obyQxv5K46Kyka9e0amB9oSyTsZuEsi7VBaqjRwdWpMhJbIPH
u0CReVaZ3VKZ5WOt0UBij9wZhQvGiK/J3smukd6UEoV1a8NlXp7MtS6wNa/isiM8lboIPwclTFKf
aAH4chCToTG+Kc10Bv7PstPjXMyKMknPHLdxV7hSn9via5SdEpC5r3HpS9Vl+tJzQ1/2Jb1XWed9
6ppcnDphBOYhK9oFrR1f6lVDrSpDwayrPAj8aOkPI2hKcdGgrEw+OZ4TdLMyDrP+vgYHK5RG3fJC
SBc8mdvEIWCaaC757NNAzSiqbuEiq146HZVtQg1bNLUd8SCwWSIWXdoUoH84t8smj878lLIhKIFm
aUO+qtoIIHYB4hZ5sKSTpjSl1+aWbxgEvLvYdrlob3namlJ53lXr9Y/4yTZyue372VxvKrsKYzTr
W+TMEpN7dsjdecTYqqVUlqlv9Tr/4hvJ3ONgMpTcm4PSO/XB5Mj1DqxqdR351TyttdLqteJcpQUE
aeryjHqJu4rC9j6k5i3MLlpkgq6KIL9us+pehGKZE5pYrtN8L0z6WSnyV6yDPY6dzAoiEsss6/u5
2fifwSWnUvWxZ0FR9apxagEanDRW6EUXetMv4G+x1fpgCmal8TXVzFTiTJvlJPzR9dl9GrDPaeZf
Rjn9nhc9WN8xuzJLcWZWSgfH1yOSZA0496WrWbqDvuttcMNxcgHgZVIEfSPLkN3Hdd2AhJDSMhru
zTLu2mavUbBxRS8DsGNVCcLUgeixHt7Tw6cQ16ml75U3QQW7AEZnOmLnTlVehEaUW0ywUkaNCfGI
OgaDy48jWTEegC2C+pkTlhvN68u5ElkwLyvhyzSFiJQjtFkdVd0SJ+isd5211sUXXtjfax2YtWDi
PGh1Ftx2adtaedMs04ImMu5EaDM3e2iU7kst11NLxcm9z81zL00f/J6VlgvRtbs2yZdagu8ZrmLL
SQGNiIG1V4W6zR0O20ZzCpFEx3bMapkGoB3S8kHghsoijmCtFXHVGDLSXS0/y3XU1VKP3GQG8dti
XjhlIb7huCjZ5f+L/vpr08aACvDfGUOvew49H+h7ikk/Uf100xEcMhi6jepweeWTy/3KGIKS5OHY
LyTEwYeHnki/jCEKJWtoOMoPjrgQcC/mKzd96IsFA4JLzaGwcQisv8MYQoOts2ULCeijBs2qTQbX
A0HP45GXXvZEpVlVtSuQZDGrG8dLQbEHLLRC1tSfTM3ozoK2TsKZrofl11LRGjaSos1kIZLsy6vZ
2xM0GBrcj7mB4xbQHR8aUdDhgoTtmAHEndJQeBW4HlmCVm7YJw7IojI9qwU1JWTd0Oorq1PQiHnM
y8zKghxC7Q4Es6gFZzSTR1GCAwFjeJWNowjd94bG0aIzDWeDOg21899zvCdka1ITQi0CrFYG92Xp
I4595gG2XbkireHCTtT20X0NyRIyL1mnDLCLWhTYPnO47JnZ+bILdbKI67xDdl6r8tFriwJZoLcM
uyh9Vcsy9vRaQmgwdMFpCrzrsBJncSG8woYyV/G58LLzMGqMduYXmnnp514dL37/VrswwGlVHS4T
ghtXwSZ/eulXqQ7WaW6jpVEBgXdHfFYuR1jSEMPSSJOqvW7aXNymDor++v1jxxEjCDxBeokRuOEZ
3AZMBrZePdbQW5emhZusEt6jFQq9apUUoEK5433+/ZPGHsDwJHA04PYcuP9MMD5aZ2lCQSHlEODm
qU7XWaPyaOGUvMMyTD2INVRRbxG948oKiNHE/23RDIvitdDBW+Lh9h4KV5LDNWvjx0Ps3/fcJPZX
LAuNdRxUxjqMBh6MPi5mZq6U7HSAftFEWYPBfVZsU0aiOG1ERy9ak+S6RZpAhVbAkvie5Ckmtse7
bpNqdWrrWh8zyxCK5kuDmOAf/372hosbx/yzYduAkxIYMhXjnJtuVkZiGI52iSonXvt5WUC6SwvL
hErSdYl71nh++B0snvSi7TMwVBRtfQujmv0oWQ+av/NcZlEV1BuIBLLH2kg9dvZ7JukoiwHOJaEE
FtFQeAKdjgw2xMVfLScz576eeyW5DGiWOgLMNuH1i7ZsiZiXdVVZeZvpn+q4MyrpeRBJy1GygHhk
uohoiq0wyuKbNDLiVrKocb80QaxOu6IsZWpk6b1ZhNx2ssSxKhUEvvTBT2ykAzmrVZNqxVWm9WTm
uhA/kVrvJLGFa/DvDLOMbnDgXrtdQloZVSxblU52V+JYI7ZZY5hIv8OwN9Cq76Xe8OAi8gz+1dEr
euaZHF30blsLq9E9GsOt551/qvG8i2XT8d5GjaHZfdA+pEVW3la6xjzZxCWDHF5WnVIHomaZh5pw
4TANgWXthc53OC+Rg3mUZNq3KmaxnaYFPg1Vkp6iTESPfp2CHZeSOLz1hdMyWWfUPcudvLI6mIcF
ZHrFVdbE7Yw2eTZHqEXgRhsMuVbdgINs1dhzZnFBcrtKxZXnaK5uI6TKJaga3FiJHpiSlyz6q411
7xznIr01SGksKhFoeF6Ycb/mpspnBZiD/bwerGKtbfU1LqLmR+GmqWH1GALEMnFx7c7bMlAgHE0z
69y64vNcORADLUm8TOCnElrb5ZByreOayaAIAs1iTsMkU0bbS1pGDuRxtSRe5GY4c2nV6Z8agqjt
F7keyQBWUjknZSOKRUtYe2GGfR85n6omK2MIX/pRl+SPnuNh3H8tGq1lsSdFDlu5esBdHJQkl1VZ
VWBAliE4Je2Z8LN+UYuqdE7j3PdTGeBI3epMI6dBR0gFro2IHAm+kGgBrhicj8RxQB+WUdhkkG9r
XN3KoxI5V16mm0wtw441nt21kSgvzKIksKIg8ImKxqpAF85NzQucqxpEx3StDIKKsOBIWMTzJPJz
IaMMlJcza2vftDQHjlKBJe3oELZVkD6NITNcNQ64yyyKZ4UDVsHcSNy4t3hvwI6Z4JBWVuzlWgTJ
os4trgtfi+OZcn3+Q6tq5uu2rnC58Cmv+MrQHNc5SwgrmRFYSVtkfbcsIKmQe7PU9Vg8c4q6z+Yi
LxJ/3kVm3C11CBykloG7yLdYa3TRIvczX7MAVvxFS+Me2XCyO4xt+E/XrqJA1wqY8iT5EsSxiE8J
xCqiWeiV5k1flYTMA01hdO41XsESyTzslQsnr9PkFpQxOQvcHofzKgUOZqqM3H7GUdsLiwfgDF7G
vIOlrYGo5LaDUHWWE8OIbNchbgUeYw1w+qwA+yTpA9JvopAI0+bAQGyTLvayU6T7dOn6LIQwUBhm
xPaV79g9BCoMqTV5Kq4Dp4EICvGzoIfcfNBr57oT0TlKHdcAdgVLZ6jzenXq+ahxIU1BvUYOv5NI
+CKB5eOSzGobH6JVZetr33K4sA0ioj7IEV6hPvF7X/KaauSuixpcrcxUdMpORFZeGlUCKsktWAgE
IiYwW47voeRrj6LEO8u6OGrnRWP0/jkq3fKOBthYG60TO5IjWLzzKmkZmRVm7wPzFQpiOyJZWFi8
cWY+8rOvUdOAZRG4QX0LNQDN9zT3yLJmjevMeGjoWCbcgXGMSAXtPMlrtOrblNBPRWmgO1Rq8IvG
1ApuQQwbIvI1jgN/mbcYN6cJcwt85WtMfE70bFicQZAVCxYVXnHddrTklp41gI0HAZvYVgVsuueg
wcRnwnVY3THskrkNTdNadQoOk4Ovg7wKwxvME0FPWxo01WXZloPx6XXttRFqZgtlGTE8Wqm+r2WL
47KHXDIbXn5gvYH9CfhKY7SiRgJvUWUGTJUXqrC3RFiD6KQRxDs+JTkDkc8rsApc+A72VAwhtKsM
0S5PICHgQVjMa/K2uow1Ly2kr1dZO291ppNZV2d42DRAmCx4I9hAWoEGO7lM4s8QLRJnvPZ9Lrln
hLAuOtdcNwkBNto86G5I2erFuQtmbgDxgyQMbjloi0WR6GiVCTf7CiFaM5Me9Xx8prgrqnPHU25t
dznLwClnHVmkGKbV0lnWPYRRaFy3VaGrZaZ3dfjlf7P3bbtx4+qarzIvoAXqLN0MMDrU0eUqHxLH
vhESxxYpUaIkUqSkp59Pye5ux52VoDcwF4O90ECAhl1mSaLI//9ONEEDULIprAaAQLyuIaznADQD
mHFz5sxUbrqgiR8sAtixMV0JHt7DMjcPht4yoeQxburKz3xncEoseyAeE02d+ONQWbrMudPiNVms
wo33Xivs/qXBgjwfcIQx3g2zrth55Vu4o5MGxYFNxvRHexidIC1ikIbYaV1NUHr31dMQ6/jemlGm
H5YYDM5XJdtZAjazQ71nxlkJoMamS+qZMij3HR6LSa0amN4CHFmdpjnkd5UGbR6FEkT7pP3dYgI8
nJrYctl2vBbi1AaTd2Up4omc9m2jj+VsOsArPrioe1Qi8iuJWywjWDqlTmoqDWBHo6Meu8Dc3/Gy
t9knWyxupJMFFdj8oVOuFeOPyWLIaWjV5cEqOvOFlsTSoOlkUO8ZhFvgmKxi2Q5jL1nOlhGTlDmq
ci9TzRf/ugk6zpO+0yQ4eTb1pnRGdSNzQzs8NRO1rEyGJWywdkjJc3typyHT3ImG7RL1mP21N5Vh
NhczkcAvZNA/GH+27ys6YK5hp4s/Yq438tLGrY0F1uniahM1NDAgWB+daDSRndS1Dj/4TtubzPil
8k5ewSN92xcyHrC5Y0bnHXPxNNE4zNMVc1UtrsKho+7FmQgPQIYKQEJsmqzyVA9WZ7JGFlgzUI2N
6sR5ge8/xHW5kTSqaWYmQvZz7+G9n0HqgqUs6P8jjOTEngchxat6L2p4q2n43///KR8cNFr/nlv6
M+DzLQbzXca4fvAPRAXqBti7XLg2vT+UhX/SSzjdZT3pAZJESAERmvcXovKNk4JaEAk+CPDx3gof
QC8h35aAjbId/5+gKeBdf+iMViOSD7m7FwG7gTARh3T+2HOEXJVR45TW2bZ4Oipmp8RbXgpDywRg
YwApGtn4drUZ5rLhW8K64TYeGuvGCbXllihD2/C2LOMmSmJsodko7eGhiFg4PwPHUEkAPiZxnNnb
Vr0SEE9ECzZocJsSKswtIKMBC7mJ0OQwbIedFW/APX9qu5o8lz1v0t6Zuo2gIc8MjsdLdKmDRAn8
rhv2XjLWzvDUrYy8U/IoW6j2D6YND1U1uIlxh71PGyeRo7UdnfFLMzkEzcBAEx63TsIdnUfWfIK+
MwZ75ec09vR11JJ1+6vKPEYSx3aYZ5rMbQfMup5Ugi0EDWNc51HpLACchy5fQGgDGJcXNFJu0s6K
P+rIn+9s+4F5kiXSqq9ZX9IMbd9NtShsiI59mkklksgw8EDds2RmE0RzuZbzCsWNb/IwmpatCg07
tKEFpsVl076eJcml37t1gm7GJNFEBO5Z5CR4LNbZ6xnEImWcVEq4qWLeoffAYtRaTDdLVIXbVnr1
zaTJWXSU7uLaKtPCIvgQegK2sSws0WhEWl6jbYDEbCgoNC4OiIR8mrwok1FoDUlF6QJuq+2KOx/D
bnVVdSTHxG73qHf0tpGCHYrAik7MM2DJVFyc6gAfbk92PxY39kgf0R/6CW2Dz+XQ+ImR3MnRDz/W
KMryQnWvJEblrqzyCuR+k6B0PXNSi5TOzStd/Kx3S3WeG2+GmtVDVz5EdRqDTAR5EOwH3YcHx+/s
VFfzHa1mPKam2XoU/8RDlNqTD8rHm40DycjYGXwB5YzgZQZtHO+Ext46zODfbOFy9+L7ssbdJnNJ
ZDKBGHFQHWddxdXV0MckGzHRzlqYYDP0fn8MPCEyS4itGICCVNEybl3Kn7gOIQia7HS2JnkwE9QX
XJf2xveK6LpG5WA18VfHkldB1dyIcfxQWO5JdsDSE8fqrmeLzXtIFyvIW5ad5RueNMrn96QqUHZG
L8qajoyHR+aFVzMVcR4CiOmnOQ/Egl4kOkdze+U3zdOiraNvs6uGRmXKRr84tVEnM+ydKH1peYe6
sNz3lO8h79jVPR5SBJSjMwyIQBUWiVNHn8vR4A0M2BlyCNSMbQyZjdINsMw+tQO+j5WfR7BfNkOU
GAFuWUSv2JqwtDQbbMCbDlUc0VJAjkRuO8hhaVftQ+0dYzOlxlZzQpUPDGDiHyJOzo43fgg0iTBJ
YxGcC0hAD9Bkvna9fesv4z4co8xFxxYAJEkJnY6+BYxJ6880cLfBoHNZluhR/egi6/Y2Es7XGP04
CGT3RcXzrWdNQdb0HeQzy8aqvbTDMwa8xVLPVknZ6FQvBAxZ0Twv83wPsLkBhVjtITW8LGI6N1Gd
hNWqYhK7sBEpFlKIw3xy07TTNSQ5qbPM+7YYM0AeCV2s7QKRCw47T9Ea7QI5bSyUAliJ2HMQjSm3
up01xqCnwnzuxLntSJS3BOSmcqqkGsuLo3jGdLmboFhphHUFphx9Jvvcjw5w2ilFi/OKYwLTApJm
CBfSQvGXgb+IYrydFPCDiIDJDBJm2k9+H2ZycTOEBMIFMKTAWs44Tg5tZLDxNErWcrr1pvieV4sD
lRGXiTBk23hDGqP2TFATJ8CXN1GM0rhnkGrSzdzzFJUJtMkT+EpJ9y4EXNMyfCK2Oix+dBcE3aeI
ytsSBP/YfAV4/tITQlM+2Qkgxg0LOtA9c1aXXk7JnJYuvUFzfRLavYUi99W21Ko+BcoUJh0hOyvW
u0haG0JRuvriCl3WhwHfNCximQR+lxeWPkoybvAqXss42tiuPLjFjAH7vOxww6YWyp6+aBPPc57N
KD7hT3mbqXCzWXpdijepz0IUynNrPkO9nbaRdeRK7BcrzMUMsEoP9YZa2CRoB/oxpnOdjEG4dZR+
aMb2SUGFPHfhHgRC3lGvSIUadm3k78nUCCgI461d6U9mIA9iqG6FZW8Lb9qwYsS9i/OyVbtQ+Zid
4Vb7+qYV/Ngtbaqt8Y6zcBdNxblwl33rNQfwuido6KKkHdkGbcSlK8geLxhE0NFNNcRXrj09dgFH
60PGFO6nD8UQ3MhBnlvp345TSdAEy7vR9zPdiRbVMgAqn19xvzzwqCeJ4eVpWBeqRXyaawXgy992
qP1HZQA6m1Satehpj0XXfhi6+WA74mg5Hj1bBSm+lMCa7qREYQ7s6zAQkizGpFrV2Hiqr7QMPlSq
CfeQuTNIGNTjqpV2vBqiO4AEzP4aNFYCVf2neqB7RN2dsd6ynAz11jbyiI4e7yUHB7QQ+5HCB7CJ
3fq+GRR6gqne1q59qeqoAtzQJa0w7gai0l0BFMM4VoN2QqQauH0IZj+1ZyereZX7tL1MZbCtiukw
tfPXzuoglqw+q8FPOux/eAMkADYd5uNY5gO1oIlGhVArAEocm8QUtzttRV+19jeSkW2pww0jU96K
DuuPrKaknJbN1LRH0MfHQfn3wgfbP6guhdIuUQw8PzXWoXU8zHWO93RJBltAo6lOi2Ue5dA9j9GQ
l5WEFJBPJ/TjUK8RbH9vStqfcFw/YuffK0Tw4AEYlhDcnv+OMIJ0YBhwrql1Js2OQYIu6luL/k7B
/yOB88cggW2D00Npu8abvIW+gboRiJRs6zxFXwazNePjJF5LN2s0/Q0X8LOCF7qtP0d6x9mIQsz2
UmAkJ7qm3px0ISQMy14EH6vxiYkg/W/cPbxNPqjKVcL17sKgKx2jgovyoq0nNR778rnlz78e4mdX
hGoZxTKGWQmaH+9dEYRQ/8wdvWgvrcx2nOecU7gHyi1boINRvzF9/GQ+gONF04JkUW9l234cTreB
dGai2AWOpoS5fTKW267+zTX9aCz5Nh9+GGT9+RsqRBaW8oMCg1QDTDHDVRXT7Nd37XeXsf78zQha
LUoPsL9dhu4UmC6txT2Evr8ZZPVy/cWb/f0y3j2arp7rTjeSXSbLTaifxuziMSAi4SP0ZoE8O6P8
zYg/uyyHwPC1GpjhWYeS/u1l1TCSsbay2SXsb3pSAqHbh8XrP7918JSBRwbpCa7/3a0rfNcKIj1U
Fyhs8yYAcixSwz/8epCf3ToY+CCtdG03BFn944UIQ8OQsanC83lsgyuKTrHCYhAXd9V49HQPkuDm
1yOuc+r9w3o74ruHRWMUs509VxcyWaADHiAU/c1i8Dce0ot8HFlh+2saDLQSa7v/9ulI4dGaTnZz
qa6Gvdpj8zyJ1M/9G3rrp23ONlFqbX59VT+bEG+v6t2QVJNmUp2uLjqQaJNZ4oDgc8Tu16P8/N55
uCXYORF88e5pBQtksKoh1aXoY/CmxyhSv7l3691//3Q8ULjwgMALArPZj7cOHB+zZ2lVFyi1kzly
UG0+Ma9Myqr6zbX87I69HendAoeOWAwwq1QX23+h0Y1f3PXLb5a3nw/hQ6wQh3iTwndTjUGGGHlL
WV/a9uyPMGkwJ3HG4Ddb3c9eIUy2P0d59+jrQVM1lxiF1c/c2hUupG0eBPyAdNXFqrfc/80z+ttl
wWWKpGEkW2Ersj3vXangxEXYNaHgF6W3/fBkgrxfbv/hRHs3xDshRKtL3FDa84tZWlD4ZTZDO/ff
GeJbCBsKHuBsP860apoai6PTukj+bC17CAl/M8DfpjKuIYJvEu8JgDfnmw7gzdaDpTOESXBpLqjz
mtFPabVfNYht/PLtQv6nK/7XUwnePNG/+dH+D4e77uvn95js94/9iclC17+eLxSBaI1Q2WIq/4nJ
wowWQrBGXNchqHzxo7/MaEBpV7MpXNUeBHL40R9mNJxCh60KZzLjqDmELzvOP8FlQcL8sNzBjAYR
Ms7ZANMDIpjE7yX/0VT28RjR8Vwx1R0iHnunoZ2OUcvheRyHj0HTZH2l6l0rQr68UCF76walH5h3
qHlB+vKbmHYtBKjzjSq9g5CN2PQcgKS9QF4Z1ra1ZVzDv9nRTVlruockgKRlV0CTaWRJ01j37aYJ
Oz7ezWX3iNZWJBbC5pMQvGyVdo70DnqyloMPCzYt0jma2WHkdTY7hbVT1vBaxu0CoRgptrMtIFmx
63jPx1J/7JC9cXRYUJ8it4Uig911o0u7PGpmsunsiGV6sEgW6riFPxYgBefrAhnEIHHs+FiHg8r7
0k595aiNP3XXkU91ol04dzVfpsQqFIhe2hoYiuS1LdEhqbZ/HOCwnW2zQguZI50T8cqjWRRNVNWN
CQNBBYQkSs0ox7zFE4bm2lI5BitfCyOCp3mpdLEB0EcTKFUgIqDS3sXDeEtr9y6qSDvuu4Ba6obZ
bb+D1iRtexrsen+W7V2gCLAyOhahTtyw8LaubTSU5oX/Whej2a9JVtuxretsadrLXMnrwOsOLafX
PXGOkbI2QpqDhXJLLCCA+jYh1ZL6rPtqWueWqfjxP4vH94AJ51eLx/eAl/drB95HfOqPtQMp29je
sDysjvcYh77+tXYgOAa6LeS1okoJ8NqiV/tj7Qj+hVUDu+MqoMXhKmuM8x9rh/+vVRa7HoW1HroR
QFf7DxSyiAB4t3ZgYAjIUDqvEl0c8YFV6m2VWRY9ATcrkDDBBUNtMT4Ns4GvvAYESPSKAPEH3y5Y
OosCcszIZD5QlHRo9QXw/T6EEzaRPnQ4WAIyabEjHavTHELOLhx2B1ntV03gQ7LEKkmyDATfxjmJ
pW+SgkCk08jVQksezBI8YZH4FPclrPVgVzYFJ2MSW8uGe5aV94ZSwHlWEkL2nbCu+uhH7VM3iw8a
dH0C9rxLiyD4OPRq38KDq2LroWjnIw3Cs+uyk67pFbigJykQnsHi8AI1C4wpZZQ3uDB4M1mwdRxx
GG3xiIVlzj2IWvBn19gNbnZRbD7MTgcERZmN5y0qc1YYyzOMJzWAmx5sUhbx4Eoqfm/apU6jEqV6
Hd0KFn/tZXxh8PzAMADihpSVygtjIM/Un0jdPhdKPBa9c5aifUYrEKdjPZT52JpwJ8PmUnbxjlGZ
eFX5hFJD5x2PuszApQQXk3g2dnyqrVllDYQECbSSSzZ7TbxhvQb8aodXStZgd4qrtuTZAk5uMwuz
IYM5lHG8Kx3/dl70KywiL2Ez3Lus3AIl/NSUS5OREF8SDykmA6gXE6JaJ1WfOIjxuAm0PNF4euVV
LDJQQ1tBCpKOQwUZAXEevNK/9dRcZBGr773SeYUOQe9ntn7cH8eN546fGmvcSQHdbeAHGyjHWAbb
QrUNAv4ovKreON0Il6ZPEgYHddrbyk+IZyXBUm9I2FUJmqZtr6hISjTOCXRnc94oiO4cP8hGj8G2
ukSbgEm5LWR3ZEXTH5YGaNtQFSC/zHIbcn9rWn8z9l6fegtUzFCoDAlRgJjh/qwyPmLG+aGxoAHD
JJ4lnmHjdJBbDMudKKEsHNtoUxZ6AwXj3RK5B2ZqF74z3iayL8qs5KjV9Fg/KzF9grBAJWHQfSG2
GAAtFvBOTFNiCNsF/QB7tkV3BI6izArrNiXA8oOZbCGjGlNJrHinqJkTV0cvTdVfRRMolU5WXQ7R
1z4oZ2xTI5zhZTPBT+QfCgfxFZiNTRK46osc4y4lgx0k3tItl2YKnKPX1m0Gniou99yJqZvVtXlw
InQC+WBJyj7iNhTq7ChAnXnAfHcTFA1p78MRoHbmqW5xIf+D5Ci1oya8WAVlwQXwPr24/VQ+gjDL
JccUSjxg2dedlCAbgxH6qCkhfrmjYQwWqSdWWsb+dEO4BbdUz9x8CrXrJ2PEl2yKAtnvx5AUQdIz
8L4prPgQmMnZTW3Db4QIpn5LKtf5VBtC4L5puxHrDKewhwfhMylHGAnrYB6aZRUKxqvlxfP7nDEn
LO8JhJny0Sl0WWTUXRya9aQJiqfaZ9Q7EQfcNejfaey+tz7/02tt7FXoXv69AiJ74f/rWgzq5e87
5vrBP3ZMHM0K4APGWhhDvhXcf+2YjoeoNaBIUDjEMapqbKb/tWOunhJCAKJ9y/Ii0ED8uWMigBOq
NkjinTWtATDkP6q21/3wL2jBx25s+9jIvyEyLrrWdz2lKsZK8qV1Lq2YdqRmV2FZp66e8zd35vL9
D/6QMBGhZngzEK5k7fexMdtuDOQMkuIfN2YIiWs/orUBrwxZk4JuzcvBYh4aBmGPcMoaIsrQymwl
zvE8XvV1B0MVdMudVCBHIcfN68Guj3rw4wzFLjT1M+gSywejUJjhk5FdlzYRRZnpdkVKJb/rMGDq
dPwC/xb65bCFAKp3eiQQ6DJ1w8ZLmiU69s2UxhUZ0hZKL/jSgp3r1u2mCPQGBhyVjUtsZ7KeAJZ7
D1YUnmJvjCH4cD9Rj4M7mfw7CNtvrWa6tiz/WjECA9dKG8OGsocwDda7BjlAsf0BfnqO3VLrzKEM
ZbRWN9C3bYw3PsTR8OKU4VPZzI/DglSMegxbBDOxiz8UxwDarQ1s0rsgLoatpAjhcIfhAxI7diyC
j5ZTeiSx96U1tN7ohnSQTM8s5WLqMgvxMQn3RLux1fJkN6B1F686e9GwiWYO5WrnZn1QP40h6ENZ
nsTUjImw4bDuxy0O5NhBMGclSkN0bOD6Rf4F9MXU8e+sGVlVjUKCRRg/xarJCZKZxp7CazR6dYIJ
kUWrmRdr+rYOx9doRv8FouNk6REUYNu0WQ/GwUb+kGOgfATnmBhqs01t8wuEhtXGdc12abxTWRZl
omxvG6P0ggQUMUFW4Ous6+OnFkq9eK5vRbvMmbvIjyywl7SE6CxxFUg3M+4RmaWzwSXPBHFmSWnm
j5wxH5Lw5exMbZBIWmkwfsNXmztfHcNhJpjsneDxPgQrk9bGbJvav2ngIJjgbroKXbCQAW+fl6r7
REPsF00g7gNEgmVeH9Y7M7rbEN5jB5EPUetB/oYpRpMJoQ/Q3tH+cwteb9gskaXm1A8mJEeRqYaf
enYGCC4hoWzXSmVjQyKT2P0wHTj3AV/OkCcV9n7w3K+GxHvm2xu9CGSprDj7xxoymRpXZ0PC48PH
mo2IRMnqytm7nbezdX2tSJnPUf+5CNitXVsvOKO0TvpY3gjMxvvZ0fdTKRUkqCYTprb3VuM3eWv0
VTRwKDuw34GjA/8qNVs7WfMYVKHMp7I7lYwUqUTKRYQsJurJq66qM63kzhj1CXaKKpli2PIrAkZD
QBGDV9Zt6wt3/CO3rP3CqZfQklLYaedmU2n2NTAwSVSmcqEwtG8hAN9OQr3US2mQhwQyFFy6GfLm
PtxTb4AS2NrNQfh5qsjT4qPERdCbRA38xL07beRuHsdDJ8qErxqedkidDSEZanIFWYKbG9fbaQcJ
WTZKL7Z0euuGldoQG+qXUntPrWdDjS0MqkLwMZ7ptqPdnlF0Pg4C1SGbvY+wsUWnzoLh4B42mbSM
YOvfIRbE5r9bRn9sb9ZVFNuFhyYHyCYs7fYKe76Bz6SUrlfMwXwxyOBKvG1xmO7EaV+pxPrcPnR5
vXfTIimOXVqNWbV1979exv+O3mH4GOeMQ5WHsvM9HzoUo6+tYFwuOvzcFfuYKBjrnyzxuwC/n43j
AEkNkVMaIFH8HXoLIQ20OtD9XqDYgecu4fwFZR3Aid+gkT/uft9vJ+4n9kBEKEEwhb707e3se6/z
R5uSS+Afh+DcuQLz9+HX9+wb8vvXFvtfg7y5mHeDjEhzkE693rSN/EjTOtc78jXKYLwXpwZzLLkd
8iFpNs7uw3WU8eRan9jmo8yL/KY6mGSHKKYrleEXMyiHMpF//PX3c36E275/vxVnQ84zhBWwvf54
Ezi8S3Y7E/viJ+U14ihycrIfygM6Dysdszk5PNrbKb3uN2bn+2lzpIl7AwnAxiT8P4Xkd0Us+SXu
Ak/LT4vIN7AL8sPAlKxHHhGke6Lye1NEolQMbQCv+A8pdSu28kcRSf6FiY0ElhinaXyPYvkTdllD
fr/hrIg0CEFZeP8EdnHjtXr7a46vkC1sksGaHAZBLZr69YV+sy7pbpIwF1H3LCePpMuk92b2+syu
XKhHg36D+CgEoqj5IXQAacrSex7c6AoytDrzV/9ANQEVVAM9Krjtk5a0Jws1GbrWbswmqa+nIZBQ
dQ0iFWL8MsftI2XYzhp+W3vVFsrTAxas2x562KTqZwAtgGiBlzpXLfbupLTCDxIiupTHjYKyv/iw
iOrBh20pgf9jSoOpOfule7bB2sS9OITItqj9xd0vGgl8UNpGqabTFhbn3Im6V8DGt6Mp/UOLoKZu
Hr5EEJLGckEqBoRNtQPdrQuLUBJ4KHLWapRMYkzDjn409vhUT9AqgArdIUejRcuL+JmGwmumtGpT
1rnXNRp7XntQ8Q7Da6+pnUyWQE4Ej86sGbrUlP258nV3mBpIiEaGvhz6uxqOg2HFNsriWgZi3eDG
BW2mt7xGDrZ/7YXPC8PN7YqG3jgQ+ydUDi8U0OypEnzvxxbE9k43b2kro7NkU5OjjMFTG7E9D6Uq
07pB/kxVtlB+VXawZXoqE+gM/Z03heUNKZFWsXRVmfQlYKSmhUQa1j7sqY2LhLaZV6isJ55baFa3
FV1NuwssqMEEvR0RAk6Tws6QxYDML2iHNx7pio1nXJ4PQEG20PWiGnGrK8DLx0VV57q192D4low1
0WuxwJdYoaSHTIlBvzbOVW4X4byt19Q5UiHTpvfsGXh2H29VFZRJNQ3jNnZg1GjKAS5cWJxugVBF
27HzaY5E1WqHYKoi05q7SJ50rRuOLgodA660nwLoCCES2EQlAjyq2SBIRZTQSME4BaixZgdfSrMt
nbWukpdxJG1OLQg5heq+CI5SitEAZj1kexy6WLoJ0t5gNl/WW8Sc9slIv/rQwiWG4hRSqnmEs96Z
1kK+aO0z2ig4obqlgFtiDfYagDtFBhYIajwEkyAw7iuiXQF3Qrea67KxdkQhfs/neVG0MSymsIg2
MaLu0JZCYuxVCJmtTJQNXcPTQFfBzWJPN9U03gamqXPpQFKRcodfw2eqdrAivap2+aJsTTeqQ84R
j/lwYrCVpC4UpXzog30wm+IqsEK9jYrWu3Ws8SOLhbIyosap2FJnsu1Vgvxs8K3CxaphzEIcj4xo
v4Xi9962jL2ZoIyDXjY+tI0TICJ0tgHKjqg95apcWhbYKsucta11sDyyY677QctKpeBv7pu+OoRV
ezGhTC0rRHTfUxE6x1EEGvo9/mICdTUBh03aAYb/yIzmaoSncBfHChm9w1pJ1+TKwWi0o0etvdce
FrzUXviJGGInOg4/LijuE1YtUaJk81WGsFXDdbkX1XwDgPxq9Bksv1S7WdtEYgsdHyTDmvrZNIsp
0SwMkYrQ7FvpQGopXX8zz3iEdt+cR6u841PxRMT42HlYHiLSIUetHo7M2J+nOghyWbtw7EpRbuzR
BocEbLD2hlxX0knCxW4SLvVJRuZhRA2XhZZ3Qf5RlIgGUvXI9/GbilSwEHCddkocx4rs4NZBcY+M
4IqI/sxiqJErODITa4ozNQ0vsgjWPB6AmtQJHkHbNH4u2unUOupZeOG+Hf1P0Ar7e9Yg8GpYvsBa
DAMtUAVcNN9QB/A3MloyHoTXkKZvaSwsIOAIpIktkWhh76w+2M0G0YbOKrpm5gZB01fckahoGf+i
ongXtu61XXZbCxmNJYyzeKbI77Lx//5nGjGWSja+ShZe4MRXuRbzXjUezUfArRb0/zA7WtgLIDZ2
gaQrftPEABzQ/ECzmNOg3QEKbLOxYfecqRQIL1DNQoZIgll2RWRfMQ68Drp+GTsp6NOXYmznBPuY
NW9l5Mjowpqap2XQ3hI2DN9L//+AbB4Kln8Psv11kMjfUbb1k3+ibOs5Usj28HwcTBNAu/CmQFpj
7JCrCgGS66+SkD8LJDdC6YQjwlEghSiqvv3oD14KB4vi/MEgBjQXILUcFc0/4KVcd23MfiiQkACD
mD0kvKLdgErkXZFtRZZbDxMX53GGD/1UOZ1fXYPIqpxcqYZfQvAbCupZ/9rv+stIo2evpCYfnOZe
21zg1Wmuemd45LM4cNneAjXLlOWIxK0QVuf7p25CwkQbYtdxNTgBWUM2Zh6Wqn2JGeas0A5c5XUg
bvxy2dgNUsLoguykgtaZ442Jy1V1UuitJwTSAi7Rrf3FQRrYhFwAvjGljuw9QhwGdnDqQJVbcOgQ
5WJ1DqC27FxsvyBNXHAfutuHLGy2fYisKB4t3r1bKKxsRWPQksZxSb2roWLysTIFXjbtNs5Gjxp8
rhqrYyjboEKZ5kv4gAbkI8QyGpAT2oZ6yfuhJH3eQPyHXt5MX8YAjn3D24cQXVwKOmEb6XjYdixA
c4rsutD02McibjbuKE6sID08LAqSYsogzilQAMVuLgr9wSHFR2tY9iq0bnXYpK02e+RzZojnupqM
f451ABavC+BidW6BY33uLHFEHISFDX08AaqDGx3+BThGumSI7Vs9WntEcuRt0V9HZffqoLxrLLOz
mTrAVrsDS3kFgcB140zXoxi+kFnexpTvnCr4UMc6oz4U2nZ5DqiWCUK373i3JMAvM96RrfHl7aBg
/ZjMvgq8hyYMEkiSPseRPPAKUFrUuP+XvTNZjtxIs+6r9AtABoc7HMCyYx45k0nmBsZMMjHPM56+
D7IktVTq+n/TXrUoM5lEZmREwP0b7j3X2sbej1xASUv1jRy67VC4e1XOWHuaqx81dx54ILBeFAvu
pjTENnfCm7nIsMtQydozKBd1aEbryzwU1x4DBpXsDZ8l9L9hB6/nJvaLm0Z6wPNYN7XtKbbjfanN
r5aNNTRqryVLmqBAdb589IHjPakabk4m9q4eAdjBre4886ZjRTFV8U2trfsKymk7G892KI8s4fiE
u2JTJtmxETig0fZ7fvUJAHbd5+kXvAnPhRk+tKGx80v7QmL4DvrWjRn3IAkncRnU+K3nRWCOEhtK
xQvAvBMw5TWMkUvgiJ0RjedhDI9oQ3D9TvVn7VgPvTc+1FPirfygt+8du95HeghvtK+uk21lt3Vq
xkfOeEQQkVXIBdfI+2WP1S2DTSB2fKU6DOcp7Nl1hbB2UzbexxSMNzgeIJTJixMF92PV6s1YovNI
U2cjq+prG098/aSG5uHvxwpfiyH9r3OdXgdvDLHadk8JLnxpSAevbttsrQIQgEgQ4ssMF5gR1uMa
lly+tUJx9ZV6UHVUc+VlLXUun3gfAycojX2jIIZA6j2UYWKsjcaJd9Uorm3c7RM/WCA0jK4RgPDt
4NOyLKY7XXNXYZpf56o5s4utcaI15zSLbpWfXGRl7IUc0MFWN6W1YCir7HupMj6M2dhYAxYndpO8
Wa2+t1P3COxNbpia4RVMfGq+eWzXRtytCxOkL6tRmreovGRR2uElMNaZVby2qAaYjDK2NrL5phPy
yqz0Q8uKEsGFp1/mNlt+8Jt53D/o3HqB1Hgy2Me5RpfucJSzJ4yGK3KBadUrTgD0beXaA420sSq/
W+FBrHZxN10KSNDsFqNb2A7Pve70OgzHp0DbfN+hr+QU+r2b3PrgO9ZhxdxG1vGzB8keYXPorZRt
DJcZ49w5ZL/xz1zk17kI883/fPf/d1pG+edf732Tn/rt3l9EJ8qCUIvqG+/Ekjv4u5YNFzEKQ/6H
nN5jbvnHe99DwSJNCoLfmOu/3fvuLzgwXKoC1lT/2sn9jXufZJO/3PsW6FpeIDPGxTFA8fHHwUiA
3DGOpZveGqJ6C6IW8EKXfhOTfUxFlq9iPa+buts6dsZl6uxmGVy8idQDF3iqP2TVMYvQlnRAFmun
s3aBbe7MQj4OUW9tXYexQh9MF7P1N9ooIJiI9iVy6ShSkV5CG09ab9SHNGneM02z3gn14VtRsy6N
DPyqPZ5Ht/9IOlGt3QRhGLKfrZ56eyWmfN7CMk03uFTHDR7/du10Xge12tTrtsinXV5Md9bEogH7
8blj777C5f8qITYRajJ9FKY+MUkuN9XIMRX0DfzyQAIXXaxVjnfHVu1L78804igqIDoZTBOdln/U
MfDMoLRWWRb4uNmOOF53k4OopQJ/sLKG8WUOg2vr5OfSL5HnCDCXEzKHzLIehojFQ0B0SZJbV19Y
T/6UtujiOmQDngTX1vQQoVC44HmTh0yyJfPd8guJMMZa43TtOAQh0wePmA7LrzBHXqZZDefWbZgN
t80+ZUvPgKn+OgaAJfJkn5VYQlVnFywG0Ah2kkSM0HevYWC9yIrOvouGWwM3wTZhAryx7DnYzh63
WVB7xt4ougdphB926hd7+CZrAbXkXOj3dnwH7bJTpX5HG1Dsu5qpSNfgtcK1W7x4IswfUzMtk88o
mD+4xx5maSLX68qCK6IOXfedxvbGZ+d8NNvcPIytVdxate/dKrxbp8nz18pD6Tc4+tDWU7wyQzNa
h8qbbmQ8c2dHRTYgkna+DPmwcaIsvMqx+IQWYR3MIvAqpnpuOK9+Pt7/9Dg289D/fM69dd/e/3rK
LT/z2ym3jH+Z0aIAQicnfs54fz/lxC80PKZk+Atl4U/xER7/xlOMZgG9/NoT/e8p54Fp4QFkLb9o
gN2/1d0sB/CfuxtMCQ7iPTR+bKZIGPvzKZe2NR7vYjRv4Xm9+l5uA52Wxpm5TwkCWpT3doGrnkQB
72ZM/GZXEHiwbhHR1oUNEzmHUBlBhbvUi/NSuUm/aga97wesnu5YXuvZoL4xIeu631llmhsrGw5S
d+CX9HD0gKxGTmluSsReXQOUOvembO0M6nkAzaqiMH8iqqdD4Ft+14N7LrryuRZYXCnJyGsC8Zou
rNdiob5W4F/HhQMbzEWY35vSxaWq1J0h9dnXg7dtB5ad2WD40IWRJ6RpdTf57bvTBd/9zB121gQB
P5jK6gh8CB5vYTy0ELDvFi7NKtOUCqlEfuZPjrPxI63WgUG2A4SYO4C9LII8+dFE+p7D+8ZtkQlQ
qr1GlnxqC49tfmx9ImsYt5yczzXyqKhqjh2YMAaT4oD/5AOFIrdKGB4Sb7wH13ZttPWW5cE5nr0n
QeLDyp6BUdSW+VQ6MRhxPoQ2LNt1ynBwbbX2+9Q145px1itjMUJ3SqaQFQq0QZl3bqrEJvSj+8jr
xcrIBlIOpgntBGXWD7MuT6Ze2oTo3DMOPcq4eeg0m/jRZm8/11mzdjTHp06RPZbpxplRVVSG0VV8
YBZzLmBbTUKcRI0tdZlBe8s0Os2BPPQ6PjL49a4BI2urgvvjLYNYA8buao7s794y4a4m60da2JPm
bFrm37Hl3aTLTDzPa4rNxA42rZ0lwNMgWQdJcRsu03STsfqwzNfZvpCtMxU/smX23gjEk7V1UxYl
YC4KX1yppHmIZWYvbGMPZpUcI8b5mrE+I18AhbjXKyvMCbnCItoEvLkpq36gO/OLw4JA+MU3rjS2
x1KdVG7ci2WVEE7bjtUCECh3nRNxtTbbWh41CwjgSqcRooBiMTGJ5BaJIUqV1KPbY3lhssSwM6M5
gJQHD8GCA6m2zcu2Lv6y+zDcruPGzJjymeZDxoIEUcq+SuKHiMWJ7tK3way/2ctGRSSiwfIN/6NO
uk2thyWTKb/alAQrWxknJuBqr5ctTbfsa/LAuZiV+E5gFJscVjrlstvpRbkr8dTTEc8VRLv+mPiz
SbNm3gwpSCPe661ediG5jir0PuUr6verB6xeu8UuDmVDApX/vTWHHUP6jNizAeSVUxTrBM/bOIFO
mDzQ9/lkf7SDfR2go6wygIuVX1usTTIYuORMxWHz1Y2rcwapWSTzizCae14fMI8ljmXwrvWYpxte
8CaY+2HjCWT4FaLFbjYfGk9+nVqvvA1UmK6j0RhPQJqMIzdhvQEQd+mT6lF1xmdYJg+uzu11mdHr
rJT0m6Pv8FvmOrQPgDm2tV+xfpdGeswy6z42rXzl4l5F9NnMQOwxa2cFX+LJZQCL7uc2LvBTe0OR
Ml2FQTIGzC0sfOK+bX4Hrxr/00/8q59QlP//+Z59DN+b9v+4aZef+sNNy7WIVs9CX4HSgZvs95tW
/mLSGXi4l5DN/RSx/7ZoFb8IqNH0EgzHTPdnF/LrTatMMpzgtnqgck0ucMw2f6OfsH8asP40R+SO
5bdgjVnYRZCM/3zTWssfXqZ4wExifHg8kUQINbz0jg72bWXcApwjc2iOrknKA1JP7gGNNu6SmWcc
mP5n0UVXxPNPKslTJG+Vu5kkYIAmQB3uyoObdjvdggBFAjUwc8gydjODAQNRirfG5pSMUNPLMdxC
lX4PHbTxbffJOGY7MEuDWxOvJlGSAqS+o+vYBxMIdtkwmTSirDvEZX2oPe/cgBgqLHs3W/HWAHLB
idpftFU8OwN6OSuEVlqraB/O1ntak+Fhmq9glu2d4/sIAqts2tciZdfJJmyldHOyx7bfuXQDrWUc
PAnrIIwf/R6cwIiIbMt2+j4X+CUbt9wxfzMPGS/ujPPWWs/uQE5NLnKuM+fWk+mHFYXlfrLsZBUF
iJ+NyX9CAEXqTTduzHxgZ9TEV5BpxSYKrGSb9+jgwtKxQVwW08qZ3C3y9VNot/kmwBnc0lucMjRd
nVvchzX6uNz1TqI3AEjZ7RUaE5TXDmjGeB/BfNx2s4GRieLbnN0fwmDjalj5/RjmGYWR9xbHgglk
SUyPXzjrDuT/etLyac6itySvNkMKYCdyEwc0fnShLz7HlfmjaWZ9iGcS96yom7ZhwwJU+PKeBNAv
YczrDxhKr2YQO2uNWqzTtJIl1ENIsN1nESdHowFCFaB+imjBplawl2PnBNIBmRXlHgFf4as/ZQ9j
DeSicPFezbLbB4GDwixnk9ROnr0ZWBqzemm9jeCK3WPSuC0Kd3Fj8Lk3jHwEZaCZlW+iiy5tHF0g
zwHMDYSLTI6cKGXlRHzAfmSGI5lstSXS/uImD71LFdkOdIiGuJAmYgpYvFVxFeH5Suido3ozkplA
8Uap2VNsibQ/VMK8syw6YYjRh0T45zrojk1ePndGvy+aHJ5IsVMamAum8gZFYe+B5Odq1GmIstHs
X+cq+mx6iwHWuGeKRNpkXlF66uIWFvUXe3LuCrZQrLf6RzdJd615quabtr/6BnxUBHzBmN8KO7+z
ev+Q2vOtQa206ad+T8gMfSNAi64IaRmZA640cV98QSN/Ta1HJ0wRUOT80jyzy7WrrWyNihSaj9n/
CJMx2YyZdLZWuTyqSfNtjCnfYBE57HSPhVGRRdN50Fdy+xiKyt7MvspqBIYUw9Ss494wRtLbRgmx
Bf7LzjMApNd05MEYtqfCT+Jd1quPzm4JXQyTj0L2r9XcfZ8ZdWy5yAh6kcPd1MWI0CLdr6dWI94F
OSZx7+VWfWZi0J45e1j1uRSk0VhV0EOz9mjnWawZ1pfafu7NxHX3IXPjfaemkmcJyvxqdMYarmsX
jGLr5oaigOwt6R6QeE3M3iU0lBuIwFP36JmZaB8HrzYk44muOA82hrLXelZWf5u05aEImOSV8ZRu
C0VQIppQlAvm/C7q4KHxZb9uQf4qlXe72qjHvWvos+2M0cYmMmnVpfp7VRQNc0oYm1msXmGKuuuw
x9aGBFOfZMGXOclhJPGfc9PbxVfshe9hXFub1iUyExbiDxjX/VqGiDJUDjTLxFmESIZhLjyj6wSe
aoxALSalcVV5fW/43ZlV8tc+Gn7MhiRLjr69ESNVa2lDH5LjKZyOtklgDIOX9ygpyMjxyeGwFkWD
FoSbtcOjaTEXaLyLEU/AyKwfM1IHjn+ceH0GfTXa4Gq0phExK2tiP6gfkpGjh/HAahw3Y3pOwSya
SWpugK2+D8F8DKUkpRKY1LqK8CXzZbzRzpLkY3vIPgxwedyYm8GxkWqAQZ3N6YxBwl/zLpRsdDHz
NYXZ7qXqOdtVuXG8yNnO9cSz5BtPLZ5AO/hi1Y2xSBUwNhgIbd3EG/jDa4Q+RKJIhklojqDgySEK
1gNekttsLNkgFcOldFtyUN0e6a9wbqE/XbuUFc9Y+rfQOsngaIgqa9+1N0xbuojHiSBAAtWQjfge
F4gdgyTrQFV0Q/6FQO9TbCS8xm5+7Sov3PHUKb4Dc7FCusmMDpVq43nPHNA7snwvSRZCbQrkQcbF
c9VHiBuckZGdeawGede75YNnF98iLjr06eaNMtuzsnnuiC3y9/4s6rVt1sfA6LkS2iHAa+Sxt0uS
o2dPLkRA0lZdq9o3djSsIe7dJlF3RyWyYyn/0mfiAHGMpLkO9t/UqXGbmFm/JdG22niJ7+yNgH/r
sA8AwNzvifEVe22F7rHlDQVmld6aiLdBoranjhZqVWnvRJTPc5oX5nYquAQ5slikzMEeucY5zT29
ngYUKTVP2jkQ1p0WGEyNpgTpk5vZcbbQ0vTIfFaTrHxw+PKoVHSHw+7FYKi0M3KX2JXI54Czh8PM
QA9njXtn1f0M3JewI12M3/Mi+CLt6rbJ0TMp+X3U2GYb/VokwSsaHL1pZXT0s/LVLNyDVPXj4Fpn
CTpcWiiDzXShlg/vC9Cxc6xPL5lPQReheHFIrWnNx1wth7hhk6FTh/+U3b+O8ZED/uey+7+z94+i
/uuAa/Ga/F52/5zVU1nDBqBeXgZIv5fdzL4QFWpCw035J0c6KFDTM6WJyHEZb/0xd8UltRx5vrk4
Thbpo/N3qm7WCH+Zb4EpRSogFqElPKN/m28VpT0n9uQ3t2YqnwjEfrQa+5yp5j4ZURySUBeeYIgN
mVCHeCJbK0sSf+f3mpXm2Pkrs+IRcCbEWeC8H4CMzkvFKFaDIniqmcV9a3IDKo/flTtFuMVlJ45e
UFtMf9LH2kFBP+eFuxLFeDUqEzVAzuU6wDSEu2Wz6G6deJv2lsHtMVQ3mCueHNzqV5bm+SVe9niF
tios3UyQrdTZq4b9qgu7ca1DtGRznT+FuYvV3MhIA6ubY1XaxD+DpGwSgaJIZZ8kQ7xA1cdAZtmH
QhqPTK3Eyq+a6zyDEOaM/kZqTsyT200cg8M2r4+xuIhAfvThew2U0wsORYFWceg7UjLmLuYdSdJN
nlKvWHNTbsspfh9mSs+xrT8gq51EWw5EyfEXqnv/2NTu3UQGOUjSrTFfulacQHN+tWN9LMxYrbwJ
qZPnMEQMapQ4tOOKA3ZFSOwtc5WUULtuK1yTj0Q6zaoNgubo1FzNsPIfrGBQ954Rfh+ptZvcBZWd
SmYAIhQ7qyrgqDq92EnNpgZlQbtNkyXWLSH/qjbdCx3DceoitbLrkJImfxgTzk1z7sS2koR7uA1b
Yu2RugAOBfhe1faPQWuiaxLel8Ao4lUBTbQy41OTOE/KowYxgnyfTcmqZaoP+sfbFMtQqVx6Je7I
w2BSeOq2OknB32Wuq70nM5yBvsjNu1K1+SNWDP7gumHbUdzOqv4eMYE9Wr1xxxf83SsiZoBIOU9h
Il7rqr/WyEUhNSribwb5OQ7dZ0+e3Q7zFQFhjesfAPh/y3hEUcxaiNgBGOwi5rNYpRuqEvMEDPWt
nFEEVBhw7CLcF4NxqSaqsgZlzK4NOPaLhHKkbpqbNp55fPqnMPC/VaHjHnJJZEJsZI/+LPHKWN2X
SjrHpGpZ5NrFCUBAypZHZzu3yXGH2s91aIYnFLN6lcTzI79zuFS93WNfKYptGzBI+0nLB3OV7ATT
yp0c5bQ2ta83wldfmiKu4VsyI2uaPD81FrO10UCTF06Mp9ImRW87NsVrYPrBIQ/D+i6mnoGrW20A
4omd22UvDMDAkrYhgPJ4yUbGb17KMt/6adwBS08invaWQLOoCFdFrEOyFLsjXR2XvxseSTBO95rX
wr1K0jHHIvjbrLlDwkgrXhEO21aH2NBQAGeanbgFO5EagidNsTQ3ae4nFTobLyAmXdG+gtDfoIO7
i6HgFk3/LMb4bNfdqZDTDTnEj73Td0x7s31osHrPM5+Q2ETc9GP3HC1D+HQK7zLV3SfB8OJSfjbZ
/Nr4inUSYU6rrIhfCDw5qRGKZtM8ta4mObLL4VGSQbfy0vGSkJHrmHWxyyYXu1I9Xv1a3ic5BfY4
iK1jlSer6/LV1HQ/lO1/jQJxS6rMDSE4d1XssILsm2++bzOMS+bXNGR5pioXQGecfW0yB3Hy5IOr
sMqnIlTn0SgBAONmXZF6NCUvsovtQ6R0LveQ4qxtWJDXYUfFvxBj/2yolsX5f77CyU577z/r9+b/
uMX/ODzjFmfVzo1LIhX/xwX/+y1u/gI/kYvaE5oL+88iPCZtSPA0O/pFw8dI67c1lfMLO33ucFb7
S+aa+TdFeH9dxgPpgk3BJB/euPfvHtQ8cJFz9y4dOhF7h5JhfBiwC67lcO6cfloPndVcxo5ITWnO
fJHG7i6PFUL1PPtWK6sACNEceFDsrSdrEK2DlqtYhdUaiTxxhsZgbcLWZbtRaYZKwI7vqsD7EtrI
ZvpayvVozmdCMi61rZbUbITvBrTiqYQaHhTruXKv9D2scYukP+BKPwU441H82KfZBfIZKOeqLfUc
2GXHNsK99waHcXwdUT7U75bNjMO1A+p+u0TWErL3wHpO5vZ81bnzZfQJ8xBSvnpp8UWP/dlLkEk5
6ZNhZ9fWhQJIbsNzXqNhMgT5O/6wRDI+5Hm8E4HxZkWsxKqAMQb3SlOXF0JMX0mvv5EhO4bQHvc4
Yen+tHpn3dWs8jGl9HfabaRn5ntjytS9HjXjomoC3Jx3276nq/FjVFXDSPtPk1SESIi4etgYcFYF
8yD2dtLuYl1xo/bx2k4EoFFrvpO+/m615VPSTTvCB2imA4ClSu+mMDtGZHmsfKe5053zHEIt2JZq
eoWbwFJ7sOndhIJTnBNzLyOyrXPLwXgy37MYcHYiTE+jSD/DxYNL4/isQ3RrqP4YvBTebdw71k3q
O4fRDR6rGxUeNWWMyUpRT3G8hlbCIpKobHDk26idUb9JaGB1576GmpFbVy3odWLaUX7kqyQrvieO
LjZxSx9vVWKXuqQwLC7NdjpEJKojgYi/1bX8RML6iS8mOASVulkSLMa+Ckgd67Mt8wv1Im12okyd
KNUgmxR5dUIkeUxtQSxMuKvdgDuQxKDtNI4W+wY97d2fSoHc7trt0Bv3UTl8eHMyLP0mfCOTgmKu
FDBhSgxlVNYao9zB08tFZvkUqa7jbpRyD9ZSp+BBfSfL5ikyiw0+4a25sJT46vI98r4wHJLopah4
MGAAKvAC2lCno58lrwFBPTVSm1L3Sjt98BCuassnWZSCim4S0V7DznSptdIFMuI4abdlasBlvtRk
mid9R55vyjBy7s4TpZtPCSeXWq6lqHOX6m4koQgUMH+XsAW6a8xczYpigohjpo88KfFSKQJguvMp
HcMMZ2i5VJOasjIlBb6lzGyK+0gpxktUoK6b+cdRFzejnw7E8Q4nzyo+VJNSJlG/shAqt07SJBtj
NJJNuZS5g70U9xXrx4WCTRUSz1+ZCXz0oD3jY0OtHJGYu658vgZ95r9PS0FtTdXVX0rsnFp7ZCib
i9DAMRK+GEHymXQ8Mhat8LakUm88ZEJL6e7hRF9khU8knf3wlvo+GPneyaXkL/Jgq8a5wvFNPdEH
VX4xrNG+CpoFhvPVzdiTHOQunYTjzf5mXLqLzgeLH9R0HOHQX+E9u1TCdCOpFz2GNd9mWwVYklPm
/8rnEydPiFS+ab4v/FJD25LURVk/r0vaHlnVHT4bHqxwhgwNsJ48saVP6qc2BkTdqsMyZFp6qYT4
LbQ01X2m5Dml3YLF8uQvt7mwehjo3O9ynkemN0Vdx7flKOrX5KdmWP/UDzcoibt/aYp/6oujRWpc
LaJj96f++OdV+E9NsOSL/uea4DFqkgXM9deSYPm53xt78Qt2QCEQ2gFzA/P0h5JAkhRPkgR6bSmR
2/GvftunYWkkWRT6Bdu0X8NW/3ef9lPLhzt9gUn8zc5eOFQrf1auKIuoUWyVFvtXXsq/7dOED/As
QS9wN9Ymc7NewXcpFQ2tGkC6MGBE4UtFiusH7pJtnombotjWxIAdU9csXiPkVFd0O7hCpKzgs2p1
sIlRuhkSv/woOYf2TsruOEydyfnp81qXnjHIVcZu567B23ZbkVT3Zpi63QmfAcmaARlko9zPbxJY
SR+uET6QEGffBkIYJwtXALE9OnsmAdN+I16BCRcIomvbhDRMXV4waegMDnx7KqiKcWizW7c+C7tL
X20zzQ+B3XgbMiya955qCSCcGyG194a9Ew/1uQv78n6I823aRe0uiIJy0w9C9bdAvlX/vcBdpc4i
9+dp3LVF0u3FjGvgUwVeHMKUThFzkPmT17fOQuBzAogHJFF4nCy4tyviwSVrghsXzw86Bhbto9oV
6eCS55b25WBs6CfT6KyNnC1Y1KXTt7i3qmxrDd7Oq/zxTQ+pfGcMgOKOkXO+CzDSnaZOT484R+d3
Mt1Y3OVWZJ6DBRRBk+Ht/bIPvvFNitZmPs/vfhPOnzoaX2uj2uVBdDKWPPZMsKoY7JoYgnIIACaJ
DvvgBPM+IJnhkiwwDbv1kKxAryczLxqCaNdkLZ6HqufsZdT6RTlRekxBfUjmrofSqEh0MId+Zbt1
e9Bxox/dsMyOrdF6z6VZ6ZvRq8wNMmeUJ0hvoDA3ZsZSKfW+GVCaTjKFWlZiTo1dYWzqtqfKMoxm
3BI1WrWb0Y/KH45RNMep9PMHltoN43/IYwHjzM3sOfEzVV98cWKFDoi9zxueSHDFRH9dmmQu3uZu
NM58eRccSj7cxkHtv7pzNjzncZ1u8W5Fj+jky7uwJ3o7hw3JuEYpPAlNowRuMy9s2QPbzSYAsuas
gxx6itUzVdX9SqXy5IyDvJ80BQhtohafiGnmXRWRJ+Ixsl21g/srv/Sfs3g5Hf8fZ/F7/l+XLmr+
6/Zb1JTFX4/k5cd/O5KRTCt00dDx2Lx4rJ/+cCTDFsKeJDl90foyb/39SJZw+ghqAmGE5I0zG8P4
712a+oUjlB8z8ZHDdMGB/jckDvyePx/I0ABdm+Odrb6AFk0P+UfBdG1Ju2HaG9wGKQt7i2SX/x8F
n+vnT3+GCw3VlS6/iK+2IEdqGRz/8c/IRGF6ZTqNhFZjXAw7bzdaVlzvnGy8jphYUbySH7cHFhpv
tVGSPiNa136k5aAEcXEYXJ3aIeEX/3d1halGcGrWSV1dtTaIOVBNNwUbsxTOvG0Gc1uUg1keEmJ4
IJGhihhHckTrIrC2A7D+fR2qaksZCK5Dl5jfe31HUvACls9I2YEVs4+MgJygAOeEsc8zZqSPeT2H
P4Ai9TspItzPzBhNY+ulk7JiRGL801ZgxBDbUGWmfGxJlWJ+VI3VfYuvmxjOeTcbAvzPGL7KkkzN
MQQUx+qLrBkYIn21R1FyGTot6AGMG26FFzuRT+BiHutkvgR5/6Jt9OuurnC8R+pS1YoI1uoSAvQV
cJePguCEDeXneRApDlZ0Un1QEKLFutIkcmguplNtm29lHBNJki4eJmyndaTjg5eHl240v4U6waZZ
whBSPu21m4rPMEUiNXke6ycdk68EKjFQMtu142jvc+nPZ7rpc+8b+zFL4LAiCMVSV29InkPQWYJd
jK7ZYMutLxXzcIQe81wf/Tp6WMTy+zi3EW0YybGe0ZsHjcCeO6LJDLNHOGDnUC5qDBTw38lHbNCo
gKNBersbicdbjSLaKoWC3XBzohtoEsrqOihWjIIgFXaEqBhYQzIxjO1HWyEWl6MCGJhjYMl9z9pk
PoM9c2qvlabyDrz62CfjtC9S81Pp7kNktruvyVU9Sw8PC1tAO7ovczfDM68iGxUfMSAOFYKXxGLf
uOb3xAiPszZuWuE8Y5TapyHYOaxOMONcJI2EE2fufZ/nOy+2NnHtbxuB50YPIIxSa+8OrbWpJG+8
nQNuNPsv3PTFqqSNAd/7ddb9lbUtIhAARXZq3s380l7k5KyGFE8s7Uvj3WrEJ2KCY6HmiwSM6zkv
+JoLdz45oLd2NjKg2rGfq1mswh7DFnrTrnXZgWbJxbamu8CPBXu7BHNh4r2lgfW2mDU39SAunsrZ
9Kpb7lnisMI1vgLcBeQLOqHx5I7Ns0p64ETJuLHD4E71yBeAm4M77KMzdcvRdogInnvxUhrhE03d
M/NEliyoDxe/njOeKs84jQxsVk2sT1Xs7VONLcl1GuhjgnjmTrUPaohP/P3ONuAh2Rlon2RKhEtR
hztLlvFNpsbkMBqZ9VZQ4rw2boEta5wm/zlr/eRhZErBVj0VW3hBZElFLcQ+AwouGVvBGn45Ck4L
FvDAY3HpSzu66dSiDkpZhzRrVBLLEwZatUAQAkfTrXz326xd+kxbvxiNpbd9o29IbvaZSYOUbJXX
8GUmQ62fuvRMbYMJxLIfWhPNmKywXgd9yZZJxGe8049ZmYB7GFjI9AS972jxX7V+jPnkN1Vn4B0c
m/zkylRf/TLkzZ7LaIXB9JsCS7/S1RTyyJF9rewnk7wh3scpQRAWXGJs4ECr/PukLb51o7eOfTb6
MQsqLKSPPnplKcuvlOVbKB2HPm5/gL2/RSITg6ZkCyKH9M2Ku12ona9LPG7n4npnuACCdYhLPB65
CwuCEse3NxMOjzh1tnFlfWS6Hfclepc479966e+ZpJfIh7uvmEJ3Zc3HnKDf9p0vIm9ekKogTYJs
5I3x45hOl9wbDm0leMCH+EuA0iIaeERHwmeo8YPMB0qc6oe2nW/tRr+NoX1TkAbsqh4YbA3ekS2G
M/c7Ips5LNBM82lsc8hr6Iioh2K9VzGpY2NaRcjco2PQILILJfESsa0faaV5B1MBmCB3nlASnFqp
YR1EJry48IwYDH5elN9F0dweijhAf1ShATPJlM/kluMGENx4lTl/+yx0Lm7nHGriRmGQvnnABXxS
gErcbXRxhwQwXsNSDENN8o5veWMPEdNICLhk2L2bbXLivd5E85ivPMs7qW66b0qTl6maEwnOh9rW
X32zPPYoOBRzH3YIG9e1513Dbob1fnhnqvGHb/4Pe+exGzmWdttXafxzFshD/wN3cIPhnbydECmT
9N7z6e86yspOZZa5qHnVoIFqlRSKEHn4mb3XHgBgzPmzasT6QiBYdM10U5GunuXtjGWz2BJ4WEGq
zaYj7SVUAHHs6ujZ8ouDWutMzETRIoCCxlAYxnCJ0SFcOHWgrxKnfszVED2B6lyoqGoxGFTVodHs
AJPwmK1Ny3qN2HWCxwyUx6G0uF6ISV5NIEcWuhGlb6A57aXQyThdDpM4ETj9D3NEJJAdZ7mwqEJ0
HBCW7Es/AXO0xITFh8DlHMd3VnKfuC+GuflUAl5+E4V+Zi7SdX+qpGSV8/NLyErr00tMXMVW0vES
Kn0I3OCuvCBS5O9fQy6+f8hRv7+GRVSn3MGb+i9vQ4gOqaIbBRcqxijHvpgxTI+35Cn+/cv87J7/
9jImRauBkU4YtvoLDywAqqHbSR9cdBk28DikMOQ+rO4643LotYXV1CisvmU//dtKaFwIf91KHIgu
av7YQMhv+qmBMGgBMPoIan6+9GnNo2vMbSQ6gWEKl+TvIx3dAsLAPzYGJseSoa4/+gdaC+lcsoVm
mjY6tH8ENLV/vlZMLkVd5+fRwYChQnP9yyWJrhXKNXrcM9NWvb4DBZxi0s2nDOtKqIDTdWLyVKCj
JPpj+Q24C3pXRVBH6wOMt/4A87YfkN7pA9ibFTUQaruXGF+zifUVx+MeMhHyShRhc3JVZMkDxjw6
8PB5HAReSV0/TxZ6XCMnqm1GNrhAa/WCnNJaCDUXyJlcslWBBY8tGKI8xhAgkmk56M1NqPmPMmQt
PCBrgGqZhlkw3ieMQb0s6uZNb9ZJWTBLtpHcFd3U5idDmUCnhDEL0MjnCZYODOGpPH3EyS+CcXMA
1cdrrcz3tDLnIEYuVmTxtoqVbRRVLTm0+YuKoXmTkse9nI3sLgqUV3Eq8+mEOnJJGjcfTwoH3E/9
W1TjVxkaMBexajxfaa11N/TNA5XHCp0iLp2P6+/fG1H92xvRK3B0fvnjnSi/6/udiC+QrlzFMSRw
4Ekb3487UXBXmSqGA/RKH5kc/70V6f81gy9xkZl07XIm+33h6vwmvcr8NYkV/2YZ/AetvJCr20+P
B+5FvIc4IxjT8ivQ1f8yXR0HP0AX6xsXyVzaE91Ikekvfai3/gU57oSXgnlTBNxQSejpwpvJCJBT
WqhAc9GpaNShizDrSlad2xrLxkS6rw5S/zmiOe364os2zYEHaunLXDXjMtPDBvSJBaAgqFioxJdx
RXh54LerMoMv2zsEqDvTDC3KhSeH8dlfuGgfpcOhX4VEJi5Dqz10eenSS0UPvWZdRXq+sdKs9ooR
E9C84XZh76NmKsKT4goi6X1hFTsWTOYiSgHaCkwQnkukO53R/MWN6yvLqtRtB8MKmYS4FGqbnqjj
i7WT0G1ys2IkaKqvuh986WJ81hnxmu30zlKU8hW2d6/owZIj7DQK46HMAwQ1bGu3RpNnXq3L9LaS
ykcvWGTPjkul2Y8HfY7ilajndwL41l3RHzTmu5o9rhkebRqdLqAuQP5riJwxEXt1LyNhAd8OqELk
LHLWjznQo9kkbLQL6E1CG/wBYCRHEpLStNwCnl+NRXybglBq2/yqrNUDp6tHTHvg1WZ21fMn7SR9
SR2jOt+0iuasHavca2b2QnYa4irbP6q9e8RZlXsGZDOLZkLUVwiaS/+ZASTzkUYvgvxKmdup3DB3
n1jbJeojWSRUkhB3XwUUdyYXAziO7tVtwjVhalIAzJejbnhn5dh4MXUnbd+4bafwbOS+s2IzP60h
7X8dFBBPsTM9AVy9befxSuu1Z136GIv5KWK+6VkMo1Z2YLxFYtwPajA9p2GFM6QtmUroLNx7oPmm
ilLHrK/Iht3ataMcO7u6nSLeFgEyjBkC58IfG2Dv4YzyBTRv2ILSSizMpBDxt7P9VYsLYyXN+32b
hsusNMQydQTzf1ffmEq0r/15M5aaiR2fFASlCF+DpJq9tJvmtUPTA4Mu2AileYqw2RbcNoS15iPN
PnIxu5kRRGHC1+BujwM5rE6t4FlVHjHt7q1S16it4zvTD4MVmes2gjjkSK6zFA7oADuxEZoV+9xs
hkWYlV5XMbRlNPO1CdsLDHBf+gbUW4oUKpniMwKxQ6kTSMO6/JAPqb0QOlL6GB1RLaHXTKyGTTVm
/qINWQ4KN/2SJ87TbBcrBjU7tQme9EQvb2bFQj4QOjIg2LyzlfBmRN1IMf9YhUa0K0N3N4/VAaR2
efCL5tGCKqc59o1iWQjSnQsFrnGoWu+lMZ+zrN4mBdfmbE3zstRAf/QiuO57qGxqgfo72tRx6K4S
YksX3D3Wc9M3u5AW89p3iN2L8nQN+fBgkTyx+vfRpqrswaT0569rzJsvefvlP176pf6T55v81k/P
N2bUKHkR1/EQsaj1/ltpit8EQC2iyj4eb5/pHjalpkHph5gYU7pcEf73+WYxqmaw7VrMtr8Z6f/B
883Q/qALZhQO2t8x5F6J55ysRT+1WLYWaGlam6AVgGSzwkFeoQ1kkI7SMwGxUdsNfrIGN7eDdy5Y
0OfhU+bae6ZQpEe3DPeKs91Vu9hULmbFX6lGxjQ0tosjEccF+Vf1/aQaj46Lu/1DRQo0fNVPya1V
+xex2s6snSDn50VsX42BDk6jhkqurlLkeUyqTYbPHKfnOYz6pTsb/SbEX+rBxc9hrLYhAld3Ncc1
Z0MwLTXqt9lHxUiqDmZ9a8iWim+cx6mE7cGZ61luYy5DSfjoe/Wu19qlHU8r6l0kiMDEPQvsHRpY
89XifWKO5edWrrQN9wDM1HGQBWn86kaus5p8fNRdxjQHOdVuxu6wQwWCrQyRbJETvwLkJD2YEqrj
S7yOL0E7Rh3fQUNh0iEhPHUQXxRQecwYduYwG2vSOG6ZbOMxg+AjNwilRPpgADwaY1ShGQH3Ay+o
W+YSAYSfnczqmpFgUnUnwLE8SFGZrpE9bMra3JuwhLK4v3ZjptUMlkxCm7WtLcFDEwSiXtNPQT6f
ZwGaqJOQoi6uH1OoRX5H3lcCxwiIW0x8MWijAHu4ImFHCGAZ40gAUilRSKmwQHdbV4mEJOkSlyTg
g1QSoIQl/bWSSCWhNmeBidGAtVSo2TGDvaSl3UHHk+4hQT+wfZx4UThNkYWEVKKbVOZ7K4OHYMOQ
tIHuVFX6yTZJB2ihLnqVREChpVriLOLoUy6TEUjUjNqWvx4Tys6xrplcnNiRFKt66kdACWCmxAdw
SqKnUgmhihPVBsPG2DhobkcJqurj/BQY/vMkEVap4mwCNjksTdV7A8pVrJO6rqUxxC8AWA4kLGj1
Rw0y1gwhi0yhN6znJaNz4Fl+Y+0IT0HtCler7ZqL6CPjrfjIe2MZTpA8GXBuUt7DraoQ8hJ1Hs3G
Ke+Sch+TB1Yk6nVr1m9OiRodi1FJbliQQ9giR8wlT6wmV6wgXywqiv1I3hjp4pe9DCCrGsyYqQwl
s0gnY3yOgCceMMBHH+llBiXgjbDmU1DVzQZR1cCOHMnqoFu8rrEp03oz2HOzIh99O8z6ZW0+NQpD
w6xz73JXW6QxgdcyyyZrzd0Qgn4lv6abIVlh62KI0V1Ryy/qgUQmgTqJDQZXX+Vf6k17xGfMsoX5
OCbea7wKnj8FN3M5YkqsmX6HRNOhu4UibMD53LiBhm2PJKi1nliblFX+tmLoxdwsdMhvl9kPHVdO
XqLazzWStjNSGZ1RebSN/GtRq2+ovRMPrdT9nAdHU8MLO1alsTTl412tfXthx+WL0yn+0U3CUzQ6
HBOqeplR4y+ogLQLWuR31v3jSp2H965RZvgX47U+TOVOz/tnhqvryqCci+yTk1Zrt8mofUbuF8do
jM3YBQ/5iCo9GfJ16Uyb3i9YqtWXbpQeVCte4xnoPbPyz7GNOxRB+hYuERYlxbxzQIPwypjr0KVp
BJxtQpMdP9p0bAZjPK4qRZyQbReXduFek1G3HVMj8vK0zxZ2irSqRNEdAa1emHa75L0yk00aA9QX
pueKirmd2hEraIqjgKxu9zUq7eum1a8TPhOeAxoquzxdoIS8BF68VkOFv2KfgB707XrRz0PkEYC3
CSuGtFGcuri7lLeIH+c4SbU0Zey8GYBJFUCku6g/GIqWr/iDTltTjNcSYaBlZbgMwKjgK4ZbO5LD
QSI6ysBi9HxlmTj6IWRZi0PYflbxg+84jjFwQkEIjHGthNWNiPyNNU+1h4SiW40RQ3nE5K8J4SSg
4fRNbdrzoq8qmBtmzVVT3nTmeDTUJvYUvSKuj7M+Kc/sB9JdqQ0XQTteq1OxYoIwMWK1D0XlbhVN
GW7DeerWaGvfE7dDJ2PbV8yg49Wczrr3bz31UU/Jcdnf1lP/WbzX+Zf6Lcr/bPv/aWSgGYBNJfNH
BqZLHOqPkopsPxil6LSwTTFjVZmcfZ/emXwFfQfIePtXlJD+m2MzS4CY9vvU759s/7WP/f6PiTKj
Q02ngMSdhNULUZY0iX0uqdzRVErSdcKzAnF5afZZC7xgAonSE3rc1zrBIG3V1px5qIDQnCQz6DR/
qJr4boqTeOWyn1LPeS2MZV6VAetmy1b7q3FwiukLsDANj07AAh4T0pj2cFgXFVwlsmt0a/bZ09pa
Ne/QR5DFsmlLJQ1vHGyzeBpbKXxVbNXCKD/Ht1mR9nfse2NBvaFOjO0wii9EHIfrskxZXQGzYSYX
lYvU7Oz7XOuVbjHR/9yXmUtfo5vlPHlGzuKB263KPdoe51JP+vJJB1/9pJglYHVXY6Os9al/waAl
cBapE0enuamczsPBAcTNiSzfcwuBFkHNvEyPu5Oq2NnZtvL+mplDuKrh1xt02zmacsU3OREq51nk
2Th7LuUA93jdWePCdvDQe7GW2te06pAA5jaLtmltz6+ZUPRlGBhEeXqTWpm1gARjxixLYNIkxc7p
9XZj1vxBGiy+Sv/URrWmrZLe78kd1LowB0ca+rO1mgWPahxcA/JNd0tcIf/ZVNbBxqaWvWrqPn7W
3by5cu3GXseppUFLaozwNhvKs6s35XBZKHyal7kS9FCWGrXIvMAvqKBDoXX+hROJ+ClJG0FB0hFS
w+mZIMDF1pxuVT1HTaU4pR/vKq2Ox31mR8bwDhEqeHfha226lsieNAqR0EWuYMmgQBrPlNrmOI2a
RxrWsr6oFIWxABLaf0+uj5NLpvv+9cl1LJr//N88eE/f/2znwLd+7wQ5myxQZmD5BNNJorY/HVsM
LRGbsx9icklqMEPG78cWyiRyH2TS8e+qpR+dIONRuXdTTVOg/5SO03/QCf68ajPJ32COimSAdGRX
cBzKr3/qA2NkAc6Qu/G5y1azaUOz3xjVw6cP5k/WeaBcfpmmylchecdkw4Jqley3n1+lAoPOFhxu
dFvEUbosHJUoBloYJKOIJFax3jClnIRGhpsDtKoMISnP/qFPRXytluFVGjkbWADRcVBVpNiagmqE
gd4i1SLVUwNikEW263pqud7dlp12pG67grdxqubiMNb6RVQHezVOpIoiANWoVu7anvB5EAuEWlO4
b6g9gagmsCuJZ2Z2k3ZfqY4B0uQWgBHig1xaOb5/tBVqHvIYrf2gzNnGH0YbnDW3WyxvvLGbuQcT
TOMe5/i9L29Owi31ZwHxaqHwANlEahJaq7CrOGuLqUoeCkLLlhPMqmkbuPIe1z7u9153ztbUTOPG
lkcBdGuCV1u91J37WVTEFVQi3dQKfcZGKwb08R6yLVyaDJUz8j5pW2nNiY1TTvz8comZj4DUsTsU
Sr5xCiNaQqGDXBYKUJkcoVs9NZJ9R6Koc8nrNfqzOQU26Nyp6ItlMOnXBVjr8TIExUZOxuQe3Nqy
9z3kyScejcZDb2PIddJpvsHF2Rk7p0hMEqsE+Z7wpXsmexB63bsCWM/Cyg0yJzoVrEs5hkwDk8ED
dDftemH2Z7frGCTzmR9R6zZfmjAAowUGYRrxibgVZBWBPoxsGHZTaT9cz33H/h63nlto7nUwmcRe
xWG0dCY4B0WZqd6YGEtA/Uu7ih6czOyP/On6pQX2YUXXIZYoThDwp2O0t+YuXNntNG/aNtWQjjJH
aMJeEHJWNRtL77coo2xmCaK5Cqi1V46SnZizYTFoCN7G0mQU5o4IcFy2VrotQG0uA129bNzhBjlT
fxfAMvpaSNU1UWPWMFpfi6hbmhlDfb/SblWlWwcIqgGkJytXydYJlqQY186iscq3pmnf86h+n+Lp
nhXYEtr53kUXgOwRr/O8weR4mpx+qbvtFoXiEawXCtf+RUVmXWXKOsXOqNcgMLvpNe/mRVC8kpeq
LQcr1TdEcvBLmP2TaUUv6WwZK6tJmj1zT6kcmY+kw4A0FSeLZBsAe08lfz46B5S1jr3CMr4OhLPt
1Plp9BvST3280mq1YDvAkKbJVUZFJFZoU7ikVLvkPV6bmCoBhczBMqqRBRk9uaGhAYM49MVVm+YN
rLT2EIiRi7nVNmlFSQT9gassmw4uN5EKM1S4QHIc5+iUOtOS4oGRO2Mi+6YTwRVl1NHm33vhHrOu
vwrdaJ+KcoUTKFoFwYhXBZ9KHLKK6GqAbfhFzomSPBeJ9oyGcY+PgF7b2ceddsUMhakHyeZpejKN
mDDiajrMto1YmumwE06vVWJvqS6Wbo2cKMSbM83Dnnpk2lVznu9bp3jLJppPJaQLmgLWEZBqkk3l
QgNCwHY9T6i6//7kxazwx5OXYSObNKzK0srwy/keTlrWTFYanYsqEdJ2SpQMY7glcYrpsc10BKOk
owcF9rOsnN+1smquqipRb52ZzMdiHK9JEj6qo79MXPtBHdsN4ehf8yQOYH4TFRHE2O7YBayLmWs6
lSYu32y8IXZmnEO9WNpOu+2L4oVyrPOiuLkXdshqSGsJjlUTgmFyb6i8ZtxpJeyn1s+hVtYbYfSk
7LHxyey3Kc1uOjved35ymJt0X3XiaJfFEfEUkTjAa5fNFG0FuiWPhD/P8pViHZKtBHHYXjZqc21M
Hbyc0Nqroct9rQfq0W81rMn1eBdHPQZ8i2WHmMSFAQfGqyxr8sYoOfXlfA6beJcM5sYcZKcO3NDP
ExfhlpyDOAh12nhlBuUxDbIezr24iNIBvn625blWL/gtZ55rUEPj+iKJ02vDRkLV56R5W7kSeXoJ
KK/G8683/TKbGeJjCrozyJ+i4Y2+wHU4RD0X08gF6tTzOkmqt6QiibjMTHRjT3E2sTm0GG8aWxaB
J3hlb4UrIYdgKwNXefM1i0Er+jSrI0khwQGyU0p5lrXHyLYehZoSKDj1C0dJnqZMaKycpmRlhMGF
PpvaMpe2RqOMna3I4u6+YCJ5YOten9JiyHZ/f6nS2P20cKVEsAzUDzauFp0e75cSIZ7rYaxZ1J19
tIF6vMdy/q1QfR3/N3gv/qQM+VlewY/Uac1AzbqmJQUd2i/yCrqkHPV2EJxTFLiKdRF10TYqr+uB
OVnNVo+wLzde/f27IvXvp/f1x1eV7/tTgdWVEJsMXVFO6pTDHBByIp3f8FR8DAxqD1KSYoBC5oPl
67u+yxOvH0nySfOhQKEbFR566cdCsY9RSzwZc6Z16g7aixOiTctUFFhONiwD5MZ2ajxZPuAnLYUv
y9WUFxDZ7Hzl4OZYamVP3Gk+TbtutPWXIicn0pgR2EVR9Jpyra4qFZ8/J/AE5MkCf9m5N52RzhvO
w7su6MUOCPZlOLVvse1ueSjdNnW9tpoBw7xJ+BODolWsUqGkQ55vprlTvQpWHYpXM1zY0Xgt+aJ5
FPVepQfWwnSnAxf916oZQFSUEeGgJGEOxu04xw+GmuzNtqgXCP2CReTjk4zbCO9SZ+6SOT4I9J75
5IulnqoqD5iEU1Z96KFgM5LKTg5U0rwGnufPXMHqKmmDzAv1clnEaLnLOXaWdeqfSgZPAXEVWgHJ
3AnGm9BCnjWWym3XJuQT6JhBZ7vdKCUOZuipX8Dtnmo1u6pK1tft2C4abQ+4QVn0pg4OCvVqqWl3
+RRuRx/iFM3pubR4Rsaluatr492pVLbMEYFeprEJSuNoD7/HEP7lJf6xtvkxg/jj1SYL8U9X24Cg
oSfBQDnFx/wyOCvr6lDdY7vaEcF7dHj0eK9iWJh77URW1+Hvr3WZ1/fpFv7+4iiEEFcJDHK/7JS0
MnRYiRrKCb/RIj8Kr1wzNdMOyoO9Jpvx7kLxjg/9iujR/gv/k57hvy/20do/Y0XK/j+/zc8Pvm+/
jK5SXmLAp40y5X356ZOYgImhApPWLrgiOq4n9aHut3//jn8+s/74Gr9MfAADd0oYMowvqvegJs73
6u9//p++B0hBSM+Mj6Xfz++BcPhZUaOKh7dyWYEjrk1qzm8n1L8aJdnK/nX7jpe8rdnkFn/KVZXf
+71/R6lk6gYPDldDrUuX/qN/FwKLKDL131FNcsn7vX93ftNUXZBUyZ2gUmh8UirZmEfJNUJCK5Wn
3Cf/pH+nmPvprpNKJaYA8NB5frJm/kBXfL7Q3cymcOAcusCsKUKfpVGh7tNRM/Y5KvTYi3FcTnGA
w35Ujk6Ozzo2KVYG0Ioh+0oMQjH5ye0hccabXh2Pk89ahWqJKmegiJujee9G7f2QTWc703dmZGHL
9lHuy2iBcUSHQeLISN5DNOMrz4gIRDtFs2zDY6x1/avuBK03MCfExpBMXhmR8VMn+HVmBwpjHDtI
aEhYQwPzNFlwUprUmFaEuGVLtS5vMZDAVe8UAUMBs18JmXka2oURVL1X5/4DnsVlKyjY6qZZApN7
YW62iP0qWxJt/wqdJfJ6K3q0qrFhnGrtdGjVXRVRhRfi0QqMjWMTLuQP+jpEXALxNdsKqzfpFh1i
hFjVTUZfLyI8HlPhv2TteKEWmGKgOzxFqhuxx0w2STLS8QUElY/wluueVDiyk94C1SAzT8vRappg
AmSgnt+175Yv5nOTTF+i0vQPKMBsVEciI0faWsGR065FY9dLo/BZcjM5AokzupthSA6aWfXYwJkk
E05XtxSVMhHdxryDN5LAGF31UnOEMRmGgBVdyH6doIeaVGdcJqhv1pg4yqWfKhOCSttdkLQVkmlZ
QFdQI3+Vq010gISQbhx3aKlQ+vl+mPtwWaipv0ialNbSygj6GJLkqahB6pAEaD3CTcium1qrLkNL
RDtHq8cju3Pc/BPMQWHhnV8ohhEf/QHr7kopRsTwM5uqOVP9l9GJFGc5mEq1y4V6lRQuxi/6sTt1
4oPf+I6wnhUylb4a8H1XmSvEYsBdglLe8ShYiWyPQYr0M7S+po4OWiNO9O586gOOqeDY5NWT2jSu
p1TduQ7zYev77bhmrI4zWi8YApmsBI2xPButaNcVo4LYrttVBX7W9wEQJClGrVyHF271LoB0I9GW
heZESzuTPU8HfmElohtbz0vCDK3kVLiOcyC7s793M8fZWUglF6Gi+hvMVQSmKPXXUeAnysqYrnWK
/lV+ax+zWMGp99eH+em9fn1/48jO26iddm//539+fNd/j3EIP6ZgaEoTLDXb/MD/CnK038i3s4hp
4BT9prr5fowzu4XcB60a+M/vSTzfBafWb5z7LJZI4zHgdaAl/wdjWCF+9iNwjCP5wSGA1Mvlokbk
+vOzXlfEoLVVklxoqtHWrPqjUvWiPjOUByZptoyqqll6d+CBrzToOR0TTwqQ7bjbqT5BwrkkXQim
l859OIE+K6P+FvVtfVDJ7oNxHMSsfds8YVNvwCFu/IspQY9qxuQKlwIKa4QMvEimi1FJezCs4gsZ
laaHZPtQqvNlbo3U8X59PzI+LM1iXncOeTbq8GaxQCZ+nB+gz+U2GM11DzAalad7xY7pa1/UYpXF
GaZpTbVW5dAmd36QXSoGzsYW16CXwLlzCv9qyGJq/AnJacBCC2W3s+0t3G9Zwm2Lt8rgabMYCu5+
MvdS4pSrfuUyitmWesbsjyEm9DbfWmVV+NghCVnmZolvSwpX5lIFvcLcZdEpOm63wWrDLdaYQF1U
TE2x8di408ZUSbccnoTR42jaNJrGur7Kg2u7tccHq6+DRYH9b4EK3bwgrEh4gRZpZ06qfTUa4jLM
i2KZNxPtdkXjUDPtWIdFhsYVDRAiq9h58N2q3fIMRpUf1vThvQYGTAaL7GOthgLDIufglDXexcyd
moDfIa+ivWErFljFpIGOIAZpgrMT7UWrdGPZEXxow2E4hYCHOt+Jly12yjDnGW4Ql6iiZzVil7DS
j/BWvU7e0wJEHSGLhaoGy4zYxbRNEs82zRPBPpjtSWYMiWg0y/Qadve+FPWTUJJjPDBArgh11OE4
rFoZ81hWl0QAnFnIIf4NWzu5lIomCCeQc7AQmmE8n7Bc8OBPhlUiRVK6gb00QTfVZewkRymlGi3h
rLI5eJ0/ZFZA2RallF4VUoRlSjmWgS4LuA9LexpDb5SiLT0cV51UcWXTXSBlXXgJzGUEw9iD26cv
fKa2rZSBOVIQpgTsN1U0YmPEfylFYyHqMXsqoQGqEiBnuolHRmC/YevZL1V0Z7YUoCW1GS2mkhmo
qrYHuAuIjk3szFEK0lfNxLM1Ymvzp+JmkD4Jdxpcz88bm0hbthsRM1mcHq6UDbxnfvCWFk4Kqi/1
SM1j+KTEl52Zo5whD0tTO5DozZStCvZ7qOKARjhc+irs92WuEpCx9M0WQY0C6RzNMDq7ZJ83bXH7
cWz+2wxI39VfPz9W6X+WRQ3r9Y+PEPmN3x8h4AccclUJC+Vp8UsnQI6CwdMFThE2oA9f/vdHiEv2
AowBhJuGRLVIp8P3R4jzG0IBjnzoBBI6988gcTBpfu0EHLnMw1Vh6Br7Rk32559a3irwWfloPaxX
o7gfJOyxh/qokBaH4KmpL5VZIiEzq3g0DXJzsC2CN7YVfEUZUfKN0uf7OcC6m8w5aS6wJqFB2csa
mTmrJaGtZ4PU9ixCRmfi+sUG2hWryncZ6UiIZRzPN53EWlJih3QF9p0L8TIIw3xtzWhMAZ/sadOD
bQ0fs43GB39AKd3H5U1dhNj8lMjdamrwCqzldtTVA5HkZ5IyKdQkgFOtY23NZocHG3TOlESYSeI6
C7idgMSe/FbsW6tsDiFkT7Un+DWorNDrBvY6FvxPi45j20okaD2a09otxnersN558MdLksq7ZQNJ
1B31x1wUnHkdsk+sWl9EH16FEj/Kr/nq5tkFKy3yUHqZXGkVxf2Ien0lVI1QWXLQTELPCJ5mmp5e
ZT7QKwQe7xYm6VEGpBVpuTGITMMSfD1YSbClfXDYR5rBKhnmeRlHirXqlBH+DJAdEhruI+LYcPti
ERZaAYHHKRa5TG2LiW9j77XDR/ucyVy3SifhDTPxxSwz3xx1unfIU3Uux4YauGzHmVhtx6jdY6iU
X1lwyRAnABHoKw3MIUjEjDkdN1nEoKuKYndXYoG+0hNxR8Q0aFD5SBbSHE+qxNOMdrLEW+x2t52V
BmcsFOV+VrPaJSg+2VIarIZYvdZAlC30HB1pDqtukajRvWTYsV/unIXO2HypBzYaf6vE51607UJR
ikuWCT6WSAwBlnprKzzDhhigbjduMSjj1835iOkL/Xh8wFP+ZuvZ0VdiVMQQ+RdD3SKBU7ovBhsP
dPv6kyLSZ6XE+6YF9mZyDZ4sOM2ECgFPcnPY1bJm00nOwtE/sacbYxuob3K0fPukdQjfyJS9YZD6
VeXoXlHVWAvLnAgeTwJz0Svxq2Ypj2y9gfeN12nYHqdeuQWM+NymgPhq9gS4zQ/VWJ9V3b8b8/gw
DRl/LV/cBxkWjLD2b/3RPvA8gHYrAmOtlzZRx457zoXx5NvDHUTKeZEGacyDgwGQHakvjeFeD3V8
Dsoaw5zEIdv9BaCja33ivWRkXNXgH7AyekzB9wEg4s4aDqVivgRTe+8YOOdz89wb5kUYzVu9zlD6
Qo5NmunR7BxnEwdILRNkJKzYoRAHFeofVya/+yPblT6qH+sm2+tuf0p0sQvV+b7LQxgZqOeY7Q67
kqemxwWrLtAgXTeR/kJ9RgJ6ktaIYtnjox9eEVPurPyWECVGFjzsXSw7BsuGuMziXW4Tf9KAqhVQ
K+SJyylFInDCTqjo2GyIqlWRZk9XgQqkV8PDovIRcCZd6ZN1ijv31cTPiH/EuqPSPukGuRF6N2nU
TUgPC3nE1eRTALO/EW6+Tm1CWEXZZIumKvauZqbbDPSflragHLOW9QrXWzcHN1TmL3bG3o5F5ynp
Q5+cEEVZx016TQ0JZj5ING8S9osAsrXS8pSEJatcTbrUj0boVDlJ14Duv9bt7N/EFcJ05Ea3edSj
KMe19VqGytkq+p4sCs6IKHoYwv6idsMtBI2v8whvr4VuuQjpDJKMwtWLGhM5AtFM2UMWKHZwmkVA
ZonVk5+smQfoTbeuZM/WkkI7z8UzGmh3BSVMRxU6P/rEBi/svnmxWqXy5q6+xEJ+DsHb6mBuR3C3
muTe6nm9T2exSgIDtlJrXoG5PXUuggZLUnNj8LkOGF2VJGA2y5B1zYGlIGTDWx3oLunV+xQIb9wD
4UhICOK3mR/BUZ2aarrPzOGqHOJLrgc+hLG7y0D7ziYTDMqdFLtaDu2e0nZ025scILBGaI4KINhQ
x7tcMGYCHGyxty7BajB14a6WbGE7RRdGo8NDzqKBjySDOFfhFHPGLok82RLesK0lr9jOGo4d5Oel
BcuYRBcAih984zLezZJ4rCTDLv9gIEsaci65yLUkJLuSlVxIanKisgxEFKvJpR0+LgxF/1ZlH129
BDj9dVV2E73Xf2qz4bu+l2SCrp69tsZURcqL3M/DWY2G3xFyHUFH++HA+VGSMZlyYOeZ3wB+/MDv
JZn7Gz9EsIY0bR3T/j8czso39GklQleP9d9G/YXVh12E+xGK9akkm2HMhuC11QvdQa3iZ5BVLe25
CN5Ul+oAf0Zt5cfI4QKPBlcch5L/vxb2haXlFyiE1jiTr/8fe+e1HDmSbdkvQhkccKjX0IpBLV9g
JJOE1sIBfP0sZFZWsVSP1cxrmd2Hvp1NBslAAMf32XvttIPz0UwQdrRhi2b3lNfWtuLUzeP1ouRA
yQnjmYpL/JpDS2Q7ObaW0wABsrhVBt19OeR3sZ5XC4rL02VVcW7So/IZDwRNJ8bRGuN1JqrXiVJU
EU9PBtjUZTa0FEHh3OaZuEymaNd0UErifHriWbpTYRItZdJeDU7IEjq/n9zi5MXVk6RDZZFYxqdG
5wjK30MiMsaXztpwttxMznQVeWz5+c22pUd9NsVG5CmoEjB9+mYcXzEYzjalkZrZXG6dirxD07u0
SrkPlYIcXrajs586XBvKl8eYB/MyVtrOVjDsBS4SjKKAh+SwNwQSd2nfqLK7Gdusvk+t8TUtMcDb
FU/FUH/UM4tRCRtmqQ8XQVJaCxU42tqK813Lw305dN1RymZvw2XnmQ2rT3yDefQS+N39SEAJijnH
PFq4XhK9we1JUCV15Ifp4O2HOXH/3ZSrdEn/t/Q3bcMqc1Q9ppVh3LFm37quWpfwFbuGv1kQpBJg
B3eimnRu29dnFowiXPtOXGxbCysa7J9ohE9U6u2+cDnMto5H8omnKdUFhV7TmhRJbKtNY7bea9pX
ioCOZbQ0pOhDthgIL0ii+kW9gruLKwgH/7KU3kXWVRVGGvM9DzEGEZtircqYim2+4D8pGD5T8277
TIpeUn3CoZxJyERhcoQQR+AdCKzkxplKNtCmc9ZCw122Rsn30Gl60sKndJDPuTso9tr9bdkl4dJj
o7qCKvstLptPCns+pram4txJHwJbcimY5gX6LOkmGGo1Nol1rFpzLa3+ajAIFJtespNh/UwIud2Y
Go8ky3efuS/TMiDZ7NuO+ta4bDnzVPEQyGjtyqPGXerIyBdpoJ0D2JN0QQaHfIi/yYG1Qcb1Qt7I
SqajzfY6LsprFAwgNslwX0qM0HYRzBAqPFYMYYFuP/olNSwW/40r1GMwVdeRny5HqTUn1TznltUw
YWvFEZ/3NLsZOMXoaHZEQzVA0xRiaWGzTOuhZ8fCOw5m66abi0eTMDxONJFOJHlpn/7E2FEvUzYQ
+qYak/r9v+fK9+eKzsn3n58rm/qj+buswfxVP58rgjJ1HLbAOLhq/2ja5ZED5w+ii27jnIUn+PvS
z/mF/x8CAUYrh2fH11oX65cZE08e1GGDJwgx/Bu1GMDIn58r8/bQo1nGERZwevNPq/YkS4U3tL5z
Jp59CNqqzy9aZYz2Ms76EsZGPvM2XNVA3vgO4Si8kJb04jucA2/k8wCuIwurcRU2WE4UKA/WJatk
QmISM+WjECkfXy9+IzFLD+LMAsEjj+1iss7Cg99EFS5osOwmByCiukIk161ThrdJEu08Pna5Q98h
tXZ8WCLtnPi5C4Spr9Z1pgXPY9mGV74fRvZVmNI2Z+Vug8xHhB9nKPT4YmX5mZ7f2Y5mbnzmX7Vu
cNzCm9WaMHroOOD1FJmox8TwQppck2IXhdD4ONrVFyqWB9VZNxau/5Xv5A/6lN51ktK/IizfjRlH
b4cdm7wpWta4t9j8voV5PC0AHJ7tzni0h+GhC+HSmQgNWq+ttIzRMpgp7LIsBa5SBRs6pytVyPAR
6LcLei55MQLrNnFBkWL3WI1a9A3z9l3WyQ9dYjZsMv4oltteOybekmCAD6X4/jyfy+RlNAPOX7Cq
9MlTq6piv5il7l2VCmNDWR6JV7PVFkNs7EIyFXnf16tMRXszhCVlEUha5JjrFg39yWsjrlIG0vFg
lsa1b3TZkhGEDZY0dmj7hLtcnLbeOBh7pOc5R6d/0wtv5XZNtiRi4UM4b7ZZ7r0GYXG0PefYmIAZ
IldjNTp5t45P7asXNpvB175Z3rRJ9WFPmf05qG1ga369KmsKGwFhsY/zy8+20Ii7REjWnZa9q9DD
FjPmT1zSlIt5vbOzZ0mJy+taCuYYLJLn1oo19Aj/KvXaa4ucGLBDceOXGkxvTmrYmmsLsFhPJTOH
OcJxT12M1Y5OvEPLO9g23caqwmg7WIjotl4VazK6+6xnsVFZj6Jpz6xW7mJIektwrg9ZEN6EErNw
qUMEDmxtz2GArq+wvhkd/w568vVUdXxEBLvTUWCF9SI8UqL2rzp/2o2pr7FT1t7rSgtXumThMFoc
fibhpUvVsT8GWsyOGRuQkON0KErnMh6LcVMwQSzLLjeXGDHbRSXViZKAb2kaHaLOxZLdRBd2XLJ6
xgQIy1psdY8mxZHMqOADsJIifq31Um1Gr730avnUa6G+hLfTL+Ixs5dhZ35SJjgtIO7cdFO5bAGn
TfxlFo4zYM3McSa2SX9vqCnfaZKrE5+uYvkefaSjMXHocp4sBTlU8A73BfNeWht75EdzRejoFPaa
sbBpOVnqmZQbVcWXUWCvbC25ydL+zIpAW6jQYUyLk3WUeSwK8mpjp+hUqlTmqqp5wFe5facEi3y9
1j99Q75AMXonRzBXzHF+DFp0Ks34kI320OA6W2ZZ9pABd1wbXnc7Uua5jezsuRjl0dKKkWkXakQj
D44c7GtzLmgET6KPyzGs3kyFc9ewcD7PPUydBfBUm4flBNWun95q03iu8CXuPB34ROk5V1PXM5qy
5ljJmpHHBpmx8DD5UuXS7HWnvQ3zNl26pZ7uRp321M4BU5qF5ktpy9s2g5mpQheWdeerFTmmGBcY
ddx5pJ97CgzWiWV+9NPIaGKhWMRGvyIj6uySJPeWPTPNwusqb5HpKIFKqnet55MsGmnudF9Z52hg
MdE31bByNSNcmUZ1o3IOxqNLbYWY+nUS5cTC3IjyInNcRaxl2HuE5QXrnv2Y+S9ZjkEt0yR4agc/
9WBytZZ1/G47OeqeH09rK8cVLM1xZ8NF2hel3CSYQVehY6cbF9LygvvhtM3j6qV2rU1ea9tA+dsC
KeiayKjNJi4iJ9Eo+s7bDEqtxn4S8cy/tqEJbMjY7qvAPGHPoJgji90t+isFW46rL3245Yew62an
a7yh4N08GKVJhwaVBJAugnwX5vl0P6mM90aN2saigmShIRotAmyqC6vt92ZGtEEIF9CI1R+D1Dv4
3nSk8I+NEFGojZ9M13XmMwU7t64GL5ZgGnT/jsIPdKWrsgvvcgOCVULGbVOanO+7UKuXsdm+2xXm
GZyN7nZwW/ouBe4W+pTwuaXhVRsZV2QW9FVSRP22LKcjwKATjVwroCdXRASStRkDzjbQvheRU58J
o727efaWNj5Ct+Mhf9qaRZ2ZRf2RO67xIPTAKGn203X1ILrktUi0q7SObhPqt3CIslKNa0FxvCw/
UngsQabDEzAlNKGIjtEuwrKuUmi1Eape32Gv9Tr6Q4Ter1RV05OKqRoUq76Lhzh4qMKUFi3/2eZY
wb4yWTtp9lln7bNlagsrbM9lz6Us2+zdJ5y0Fl6ULLwsfegKN1oUuDsXBrWZkw70QUujC4HDhdat
5JjizlnOrFdL67mBCfExuM3O6fyTS/nuFtfpAYyOt6oSbRFb+WM21uchp3vcHrOMui9OLn59qBpx
tNLsm1a6n2pAlrRR5vNK2/lN/OFq/abpinbbOOW6KflXVWgPeqyfpuCY4eysO2dfNsmr18VvYcPN
t8f8FNfOvovYRVqtC3DArg9To1AEE96eDAWYI8pxmLieI99AbjU433FWwvLq3EZxwP+YGzh1laeo
TsVCUgW5pCgo2jK5vTCB7aOh2FRMOguztQ+TxWGzK6NLTqAL31OPwuSblwOURz8+JmxDtmbWvgOk
fwwcHwQP1Ra6k1HvkT8IkweeB1rZCgWeJNc8D0l0XytAbmWjE3tmF1tG3mlEESYPynFCqxVbH4t6
UZltAaKjd9JZbQs6VlGt3AW2nWAT+Xx08mnOkNZI3X3Fr+bmAKWYO8nyRBiSSJLnst47ZnhQY/wZ
CivaBMq9HEW8LaZt49GBB953zFdiOOEjvwtTumBx/GRLUinbOJ5Tkw6DjDm9ma7a2Cp4c20ang16
gjVfp4+7rF6pZuspTwNWwYO4r498fO6C2caALvggSoc1Maaqpl67OzNId0aR7nsKVn3XLK/z78YI
PY9s+kikJbTHkMABoR/cT/UBd4Gam6VV7/YA+3tthOtuveS6FWkr6Re0q8L1JyzkJYdCoS4PCYxi
tMzt5AUIxYW20YjGr/JEU5tIFisQv93K74sn3xXTOnf7Cl05EGuyavdmnd8qupc3jSk/q7h+lJFj
LTIGL82nlAADyj505GuZD1cU5EIjchAkwqjNlsxdzTJJcP5bCi6khuDO4wQrARvqftHwSOP9m987
ZvPOAyflhZCrhVykpVwNrXPu2+jS65zTbBNcUPT9KpAHGk+exDQy3RTlG8+WEZAXFJXcvW+iSB7a
Tv+Y/D7fTjGn9bF3d7LvrqiA4pAewm3iKLFgrlEr28+/1dRNmxxglxaMqU3V2CcKR28MYMWkU8EZ
ZIXacd89ecrcOqPFw85qml2HP5rnGy9o0UqayBQEv+gZbybSyGW8LQ2mXU8kL0mFpBReJvB2Y3zx
asBqWNOk5rn9mXpsysfL9jKz4m/lWMOSFXRejRhjA/2Ml3yT5v1ZGpc2KyBtqlZ1rQWHXi8eExXs
2zB6bp32vvSwlMeTvnbr7WA7t0MAirjJzmNlvESl2HkNwREzC/bT6Ez7uEtf+AHvw1kypgHDX4dt
iUEu015kVvSP2UQiraji4xAmJFAgMmBImy5UT8t3ZYunstdfhzi5Vip/TUqXHq2m5UoABm0Vp8gM
HzPFbu2/A/33A71BVuOfD/QXpFqQPv7i/uKLfjvPe5S4uQbcCJxVwAP5py/uLwRasrkgmX7Fe/6q
E0vBFyHp4H3hmE965DeZmH8RLqRQBF0YShCZxL85zsvZJ/67a39WiSWKAvKAMPheP+KzX1Tiqqhk
64ZxeFXRBejugDnz6LGcS0E/J26VQPO1CQNNMWtFHRZYjzSnI31cLxSObkDUi/ZW2SLwPhWP1Zqb
tv9Kfi3W11x9qXbElgD3U4TxKNYB6QCw4kkeZSHHjhC1UnTGgFF/sqaUMb/x4BaRZXLMYNmPNmd9
TEmeOy7qseOYGQMqCneOmjtRUuhPrPud2tpVQe2xY8kosrcrldaX7Io6JGeTeo11gM5K3aVrr/Rp
7lyxIghS/136P7QspJ1/vvS36Uee//XS1/min5e+IX5BlZXU/3oAeL6LUr9d+sYvc9aK/xOEybG1
/C5lYXXRMSf9Zlv544qETxL/ZnjiRyHivzA+sof4y8VPt5JuU2vh0ugBepd//3LxU1fhcPm53qWR
IQMzsUwlvvGZnmhqBNDWVohZ8YU1cH2N7xzWIgiyfDnBX7Rj71TneLfKLHlL2N2OzMm90QabUUqW
dcQ+hpk0Oe3zwazWXe9do9B8ppAel9AOmQSNrebg4mug0VvVFtj71s0ZrUptp0Xpm1UP5hIB/hTE
6joxYBTZbU2e1t45urHTUXoWJs66CDIVK8ZxawnvbDD8RwZ+dhVa6abTx90o+hr8hniDHg+HqCcM
BFG/lOwxavXOKHAB+zK11j6/27NHY1zrkzjHR/FBPn6VYCghWt4ih881E3x4NwPLnKXRi13VFsc+
QZFRrQ7E0NTqdQk/aQ9RgN8Wb/+qKaZHxLILdxIZR3Fo83UiazYFMJeksY3NLtjUCR90UQeg5pV4
dZP6iO0HUL6E9yOK7jmj+ACbPgfe4nIYMYtomW9tssYoWanme4ULHE2EeKHQMmulKyqoiswttpD1
zRWyT0Y80TuV8XidWcm+oYpxAaHw25ix19HdXDJi+fhVpKALcXyFngqyRIjP1tAOou/22L1P3HPw
2XmcSfrGgRmkOnUqatLEKO4IY3Z7mpL0I9Ny9cT7yfrrZcrsCxk1SyrlrtIqPlCfe6soqKUqkmz7
SgivCk+aQQZ6nUdzyqxMcclS/NYmXnUeyIXt04Yo09Lqw23kuvWwAMzqXeATDQ9OUvRbWo2LPX8X
mHWSdRp8Ote79RNAAct0FCDmqwIlrLdG0Fq1JdNV2g3BVoxFiBUKyMvJgTGAtdd2dxRS60//3Q5/
TALcPv75dnhR/J2wb/A1P++GMymIYlaD+530Zj/e74MA9j4SObjnQGrgq5n5Qj8XxvS1E/3RGRGk
++s64OfCGGQjtHAaiWx0f77sX9E4TI9B5I+jAKxh6tygltFzTnv8/O9f7obNxFm4szr7HJj5RJDC
1stmUbhhJellDPqJQI7fcVbSAOSkCFREP0h4ZE237rgFURVJU9qF20U6VaKYc4EJLtHANLn2tQ4j
8DoAd4CjY1JWipm6jUGVIVNq5Wqi02w2/sC3KPeNrHHaeb1lD9ddjHeEbpIiIC1Ro8IO+SM3ONLL
yFFt7nCUbHoUzJ6zEwy+DL+e1mz8Tr+Lc+Oizm0wFxk0hFG/yUdcvEIMckHL4rEssmNe+SehhoeR
DChsDbprypLjarmHg+yjduKBpVgn4niE8p0ODt5Xl3sB0is56oGbm+NdoWV0eKRM1OyGGyd7M3Cr
TrlCIDrU+fjNmA3CUdc/tYNl4gVLj1mk0yZRjFcN3LWNsns8Pp1HOLOvWgrFJvIyrZ2uSOxO69Gq
LVqAjDUMhXEFCaCC0tt/0+RwTGHcAQ7ACpn54tswlAXsjWYDXWQXUcqzzER6il3uk1FdPwAayZZx
pU7Ug3TYqHD9ToV5S6vSpnI6A0nKB6CM2uHXfrmXYYIsJ4tzbBQ3VaWWvlMeKaRdhgMm+d6tFoI+
drpQ3uSIbFuH/apFM+3TBOo6t62+DA70Wq7rEtMaihTn+naIF3VaJBt3dDjTmu1Fpk1igy2LfD+8
C7qPHjtKc5eEcKItZrKIfWXAih/1S3rtEoH+0FNNCdWhfgyKkSsxsY7jKG5bmlFtkFRwKsQuyeMb
SpZOkYXo5USINPYUrX2LTo1Saj7lHQSb9MG7wpnt0PxifhSpaHaihBJv5cXZEnm7DWlGys3kHnIX
KMtqUZTVpRaW5dLxEvwEKaMmDkc4S9kDmiEbbXQ73XzWy66A7Glte5XeDokFWmoukPBDHPEueICx
iXsudCM8lmUt2CTD0w6Vesw5HoASbqkaRmSTzZ1sMNEHNQJnSHduYy21GC+X1b4NCDMsf5SCnJmU
6FXEgajxXZltd4tsmlCXLrAFjQEtKBJsYYsSY0/PiRu8VBYg5SGiKtWLo2od91Ispd7d9xFnb5EA
ZCns8IAN8qA73ms+udRaBRTYGoW4JdK+iWp5h9az1cziSukgF4fIvIWG5q7cUKdIeGCzHcqLyCm1
pZlEmyFKHyMJTjEX42sWTMMuGQPO47Wc8cTeMteSfEVyothg4XyOc3T4cYbEpMPkHj06eVeMf1va
ZusTwaZNphBxfCOVa5BFCOKoIWkzXgohP+qUEFVRV+fSce6Lyg8PdWamaE3DBz7CmxgRZGGbQLdE
iurfTOOn6hFqabTOV34A4svAq7Msm5nx4ZB799Pulig7lw75m0UiyNMVZUTP7FhYYB3DXRIMr3bY
5uuWdf16sL2LWdEXmvxI2sFcFSARGXRGLqiWvJqmf9ZKHlkl7UaqA3MHPLcdVkha7MLKQRz1uuo3
8CP7ldHZNxJa+T5oIQFN8cyeNuILGqoO4xRuqXs9glG6pnLqmKXxPmyrWz+sPtvBo45Z1ScygpfU
rt2VnOYW5oh8Q5uLDSmH+14dkXboU6DcRae2cVI85kU7Lh2Fgob8u7B8Va8VXBRSP+rBa3AfdgUS
ZZ+XfPMoYWfbmnwch03SdTr0CbNYeoMBIWZkDak+VD3if7VYNuZsREI2I8O8IhHsStJ5aYJk9VDP
axSTfYohrY9wXrCMicO2ip2L3hTvHjuYiV1MPy9lSrYz5bymIVRurqx5dSPmJU6VOVc90nBgYsvW
AhY9KRsfi80PvypgmPBymldC1rwcCuY10ZQ6J4eH+yrETtfNqyRyKsNeztul0n8KKe2lHiz6yMDI
4udjFSXmpRRD6D0lQtPSnhdWMxzCa/7TS34E32bc8z9PSbsueyvSb+1fz43z1/2clAzzl9niAJkM
ZQJyF+ey386Nkh4GRiWW/yZEgZnV8btkIm3UEt2liZFYsvFFM/lu1WOu+d048S/OjX/OOkjwaKTy
XEFZkEEo+08GiLYbFSZuS111+iEg5DzeFM0PSeEfYQpS/6Muw29BooPVrGdTU85MNqtGX4cxgaE1
jpOmvDKVF+sNT4AmSWilNXJQGPNdY1VRw5JcT0Vku+cwDJ0nzlFGck3saFxyVx4MErAldJtiX4XD
CZPQ2japVYkEG0MYouOYXvmWtkoLbT82QEer4rbVS5xioVhPlXMzRM3OH7HehdmwyaNWrPhcHeh5
vdTc5C0d6bny/VVXlvs4jZ8w9aP3RyFE02btGuneCVFpxFB/svyA8BspqGHS2UaVBOvMeLJoLbWr
ekRoADv3DtKT2Sz59Z4CW9/roEkWkAMJt+UfyELQ0pjcMOB/+LRmERop2wUgK3gWTb2hLwCojqNW
bj67gNXsxnL0t7loDTsZVX8yv+tFcPAN474eOAMZUfuYZNyjw1G9N7Y8jLLON1VcXuThoFZe5XDT
iaA++kV9W0cwWx1ZtGtAZBdZQD6lbczrVNGZAP3rSYtNcsnwelE5soVrtJ+xwwAGVLEgHVdc5YU8
Ooqix5KC+wWU7Xhn6wOnvpaz7xB3+ToqDe71PS5EWU6PIiuwV+CsKDrtxlIavnojvVOZx1DsJs8a
nZELQ5V7IJfxOW2VWJJ9ODQaVjFdVFgR3eAUtO9mXGw80vFRpoylHCpWOGn+6E+9XPoVZYtFIA61
29Wrtne2k2O9lxGOdzVSZuzId7eBKgw189PN0NcD6U6rqvXuCLZ8Smpw9Cr6iCpcBKKJd6EB6UuQ
bS+IVvZG8ybiGASdxDdiJvk+jRIsA327idw5FWOSHJdNC5pb0z2mru4KN/c9KLdmCaB8H5phPZtb
bonWVavCCbpl7uPZl/CeenSCaT7Dem58a1CQgA+enYnXPyb09y6i0f6MY+8F6PL3PKq5MUk3YisM
k4s8o4s3iKNyyX3lPhir21xa5SFMTBpTHZhqBQg+MQwvfZxy9aiqW7uKvwceuufE9u+gozI0xPmH
FMre4Im7T4KURQZl7oNGJLsPGGkd7bPV3GfNHTFyYzZ0TIFtiaShN60dWlyMdWuOyb6EIJeulawr
f1fy1/AmT1R3VqCmBeoLV7mXJveJbnp7a6J6zDbVXVUZnNTLDyTOfZSUwAeL8huRXXwrbLHxxbNu
TxQdLHUEwka2q9TGE9jYD7m3HkgWjvEpK1hoadpN3cXerMfQmLfyMwpNeuXiFRyKVe1xiGhS6vTY
+S4Ds9wOhXkh6Y9BsdJQq5plyWcTmkB5bgrnKXStj0gfmJBThg3JPJ9BiO9D6DqufJ1xf3CrDpnV
PQcc/+Z7zk2di3VciptCmHsFdmwcnZWtBQ9GYj83roX1Sz96ConYca/GLITZ2m5w3C59b/zGNof+
TideJU2brDNfWyYVh8OmJs+IDaAu+7NDIUZdJSlnzGmFjUphI2OPF7saZg7tcmzrhwwT8No3mo+m
pW6yGh615sPquBJ729mYMnYyYpQqJWTkK6S+uBs1ba0Ten1woOdtq6o2lnFAY4Hllm15TkzzKSuk
dgsDEbgZOFmKCLhvLZJClhAfrcnctmNRc2RAvXLN7CGpmk3dqiel0oem0p5JL5nXemdNVzzwqk2d
Vq+VIfZhbX4bfPeymsazl3okMTPW3LhExSqq4ClpMYhy2OPeHdz78SLIwtsoCN6wI2lLldBTWbNJ
QpIDdebnGFFkGz7nBu+iCu+iqIhXnqkdur556kQx4UPg0ONr8DMo5AaRE/HswXPLPaDTUnvVIPxf
aq2r3dkxno5x9NTcq8uerZYNueKmYy/vZDs+ze6qStuVtPt+B2dNbVldF1QWFeMWnmyIJlZ6i6Bl
DmNHb1GZ6ol52LqCaXEDsnbeXm05nTDSa/47KPGY2I64Q5B8qsVwG1i1vfdk91TM/YRkjP3zl1nk
6sfa42v5H8PDFwXk+0OXDmXs/DaKsGPNUvbXhy5dpSUbkqq7KjBI24IG8Tubn9pCU43l4/9+rT9O
EfNroYfDbRYk4R3cmahBX1+raYqhNRg7r1yKRpOHatyE2sP/30vMP8IXQYcOqDRVXaquSj6YgJ/p
i32R5e3/w4vAKAB9jQRlzFPX1xdpQhAkMafSK7O+q4oTR0Gt3//vl/jr28Kf6stLzPyCL79Hi8Uj
EHJQV9K9zarNBN2aKSR3XuPx//JKc0z1923Yr2/Kl1eaf5Ivr8Rh0srsll+mQmMQOV4249BlbFbX
fXaYsJ3/71/sj+CFHy+HEmhJ4KsmtWLzj/Pl5WAUDFPdCoVO/CRg4zv2XRAex+w/RfbXswZT8z+f
NaBGftTRa/o3Zw2+7udZA7T7rKLqhOu+76G+qrI2JCUy1dwMTDak8+70pyrLAYXCRFp2PL7wR8fO
T1XW+MUmVu2yvOWUgBnrX9mt/4aiSX4HkhPeQ2RePgV/uk9ArKzzQavGi8EsS7ERie46F6WDpvGp
T2AFGbVaveXpbmLXnHaFnVD9wLgccwezZXLjG5goXLJ7u1r0zrgwbeM9AEyzLDz/tRbJLZCK7Aog
ByvZyTY24O8D5l29uShs+zMswTokGTERilGjDd44RIQmqpE/lANbQlinCSPDXsvTlnEfEyH8ShtL
dRwH9Rn0BX5WvEEYW5Mjebh8BY583NQW0yzEEbLBmV4uM09g1cVWfpb9eKCi++QWLTJHlCabRPOw
XLCCc5mtiS9kCRnqwXOwHs7FQRUzHi3eSK7VwBMRxHu+0qX2DAX9srSH/OCE3Z2wQ51hBwMNRp2S
lvBRO9ex/c6CmtRx4YgtlKTPKY5fcOOQxZS9yOggomqtlPF4jwnNxzUa0ulgsncJ4482mIxnxl4M
uljGN72dViunSQmRsmMBoOnl3pFQqljbStcOwEP0kxWhLUahQZVE3dmnmj4HNw3iW2ZBGk3GO62E
BlFIkke6W1w7NiKV59d0pekSWFbBKW5KMEZJXbHJGxPtJMIOzWWsQ+sZxRUntG6SvvJH0dKrrI2M
yVNd2/VlyHvXG5jjL0bBzI5sIub2l5jvRGeIp9FH5noVdnD2S9aekJNxpxldGu2NPpkOdZ97lxHh
1WpRkLTCgswfwb/0MC9hHko89BovORn4uEWQgV/ueU6vvn9o/wNDzLLG/7h75ePfMCHmr/ntzmVB
d0cggbfwczP0UyUhQ0LDFjsm2OfOj7LZn3eueWnEMp71C2kmj7X3b84S06L8Er3Blagac8nFv6qU
ZQH1h4epxTjgYVLhZzD4KWhs/tPD1AzTUgS9056zxAaGXaTRaigyzpLX449Gg+hHv4EMe522g6QH
1WKJ1hBkW40xV0s5RvRZVW5UjZcwBSz8bG6n5qWIGOyqY7xOQ3MrHE53fDJkGlFfp/kx5F/N94oc
PdGm69jpOq/OV45e9vI4WJZqhqXQqrh5hc9cs9VqCd03ePZ+yHwC//02bkrvIqz0cB8Mtb2olJL3
VUHZlUswuEJIhIGbxEgLleqP0YipnnRHfnbSpLuhMVC96QSxaPOOw+Ctl/WAXk0LFVp2wVG2oHxH
s+SGpF+4wz1BN5erzBG0kuHv8ZGqiyR31FmQWqZFp/wscNZABzWM+tWNWCynLQZGQNUWEXgrbu9g
kmJ4DHPr3Z1Sb9uHqUIBCBY+iWu6aaV54056uh7mqEfa6YPEiMzO3Gpb8gO2Pp5rCBcouyCDZCnw
3TUNaAfkF1pHp77dVb5OrlhQMLLyvNB4MSfal8IJiXqRGJ3xlnBGPHZVE+xHFtxPptWYhAMN7Mgl
B5fJzbrLrkve+ZPme7aK4lY0EWnQWNfdC6nwaltOEZ5HyjFhvVvR2YqaZut5ab2OJ889U/Vu7bKK
7ZA30igasqp/x+eYnoh6Nw9dVnSbxotzICKRcUEiNyV7ETYJ6QQfWQWo/DWCgLbh3tdcmREsVqyH
xRH3cn9smuSACZhNm6u5m8oah08lw3TnlllwGIoIgo4VO9pF5Nv6IYsaIp90QCFdtdzCq9EFRxUQ
j5AwNBaDBZh1MRmef0hrzX5A1niEIWKcDM0tL/nx/Y1GS/xFUxi4pOtav0TWHw4pTZT7IML4Si1b
zHG7HG/C2lWrvlFs2aJuWLN69TcNoJPgvzvrr/A1Bu1/vrOeX8vXv86EBl/z884KXJO5T5KgpvqU
m+VX/ZnxjnkRDjEnHoJ2HBF/3lndX1xbcrsjhcdc8x3z9nMmBMlp4Vriljtz4GYk57/Qn03gPF+P
KZj2HIqLoffgXmH5z2j4x3NDXTWZtIDtXpYzOkIYLTsn6sRw7oz3Iq62/ozIIt6y8svuTe/8l8hG
ceSTf2wsP52t7vdeX61Qii+sCcnXajN4HmSB9ACLeJRuRt+90tMAyoPoDHCG+paezwtlWqciK7Zu
4O1IPtGliIXGtSm4rgP0WkbCW9vi49ia4kOz8yPTM7fMXgYXjk30TCuR49zKWo8G25+KvsLMjPb/
h73zWI4b27btr9wfQAW86SaARPqkE10HQVEkvPf4+jfAeipRLBUVdW+3OifiFINCMgHsvddac44p
EpdrU3bfGqVy0cjpWcMkterqHJWV0qe3iT55/kiO2qRZlwTBXQdDgr6X2eOkxaBp0kJEjKi+DEUQ
H+e5K4nR5Dp4crxZqOF2doENwmyTCQl4nFGqwVAOodtakdgSOFbuOjFIXLnk0NzJhuUkYWVHqba2
qvQrKafOkou+KnsgNxVSILuA7j7OTMIMkT1tSDb1MgYMWgsSUejUaiptia3YKyJuKgkrhU+6GgB1
Trl+YhyGBNS/NejXFcTG9WTWrS3kPX8FNqqzmerbfGC+BlkITHWjpVvTsE56othKnrd20/qPTWDe
xIKpbSNB2aiTj8UPyFmmjhzl9MxptHhYgREaFxX8pgj9BiBYJt5MJgMsY9S2WY47Rw3KKwBzm5Fz
hR3i/cLm0VR2ETX+Vh96ER8mqR9lbK2jHHUHQZgTsCUGm1qQPNdSntt9JQEkE2b5yqokE/lm4oYa
5gNBlEJHgLa37geRgzt+ruxIAzXf6p2gbRBjDvbA+GBb0u0bDYAwvUoKpC4bsdcWQKE2dRMU/rU5
mEiw9PAbTpPSNf3E2s0lEWtSWm/rKrhpROSoYitvVAGaFKAUlwRCze1pbJt9XmArqY/sYq/FSPNe
nYe9OPb3ZTMxDJ5xccpVvIoQyNi9X0IRNUVqmvnQ5SNBkaJq12Z8ObdmD+cvgPKvHZmI80oIt3Tb
RZvVfhPLkN70QD0bEIM6U1prEbtho9J5BpXnIVs5pDrMEdFqUXL7515MvhD2iLlS87eBXCETgAxA
cFQVuXVcNOsozGHuJ8cwIN0+DQiAtqxjnlqbVusLezAIuvOjL4UwVXYgBEQCy+I3JSpv+8R0hCBF
IWvK0lNfa64gCQ897T4UNuZRQfRnS5OeXNJZfmxLtjzJ+GbMzX7SytMsMZomAZJwTe084oM45nXm
pSI+TgA2e2WsbUIBRAQ/4RXEmiWgc3qUjZtEcNXJ3JdRtLZ6aNrYaWs7h14e9ZQobZJempEhoB6o
H0qhvYpJe2Hkz5lB8wtbV1q8/b6TEbYtCPoG00tB9kJcYcWDlsrsfJWG1tGwrK3RJ2ekwnaHCaSm
V7bvDXRsSTY/WjoDBdAKNhK2SgNblwpxYLd9deiGeWuV0VdyIAk4kPDMZoMFkTK+blPtq1WHldON
HKfyyrgNBGIfpcznJS6wySthC8CRtXBlLUyqJpen7M8G43+1zJJo8M877p6Yvb/vuMvvfN9xl6Qq
SUcdrxv4exai6Y+Jr/iHZKEhZuekA/K2rX7fcSlY3sawElF6VC7LZvx9x1WpZfDKiwjodeJmENv9
ix33Tfr2oy/IhmvREYYqT4uB2CoGsz9vuIZUBqxsc3syGvAmCSQq2FdLfJFRqZZn9OYTQM9hXZVa
6Eqk/qrCLmvMDpOlsYSrRfKSsxa+Za4hDQXiH3cxlMfyLZetZLg1XOSktZWIZ25wTwEXCkniBG80
N7QJQgLeyLC6nHICy0vRp0IK6ICTOE4Ca+TI6hyu27fzYUVuVLdVfSEDdCW1Rto8ZGQLMAQZoShh
xFI6vYmatZwTXbnLsmEuroOZdgJzWT9mQFUEtWeRUuIQfRfgwiF0ti6G2BOSqXKHype8PtEldyAL
0BMTvb6F0tyhvLImfXaVppsCZ5KteXTTDisYfarFPkDikoBztZz1Yzc1YeGUcqFfR7q+8CaNEmsY
SmwPhn/SXidKCs4Nokx6HtEZyl5l8P+noCnu50G12JZAXcX1agwLY4tNXRHd/9oNb/LV5ZT4z68o
6eL/40QvwS96Dssv/vWe6n/Q9MQ99+cx9r0yg1cY8/ySoKLhdaEh9+NkrPzBK4Si1DDYtmgLvOs5
yAvhnkYEONIlUA7l6794TxmdfDgZYyQg686kN6sS84iA4ucXNSJJsgnTVjniRWPn0GDxYpLtdC2h
fiMQEbJcPxs14G2xlEco9GSGdcXixiWuV0Fv+pSEua20bLMi6ctGKkkXg9RwRo7fmmDN0g/Linbe
BcrSJKuWfhmiX1pnUiNCcbeWjlrmK/4umXSxdem8xdJ1ZFipuicCM21gOQb6cKyVkkiFBeXS63n6
gvwTER7ojJTdzuxiT4w5VVj0PvqrtprarZrKDVTHOUxm1xen7hH8Orh5owrFvdxZ/r6uqhhlXc7Z
NhytChY/MHFMANFeayf14PtzyRTL8q2nrkFauFIrf5g9Q0XYmeRhd0Fr8ol4mEcjCZ5jHXs2DW4A
Rbr2UragJMk3a+n3Vuo3prp0JbEBVAF4slnU1m0idI+DHug0GsWIlN6E0CPTItwGZrZ5J6FNIHZ6
8J/HSO83jZLTuGAsfxASOdskUm2cjKobt3NZVh51TWHXUNXp9ObjMmal9VEDE7B6/8jNLR0dg3sz
ND4K5GxvdlZha35tHCdNm7eY/MIlUy9FNhp6RoR6pQ7QgyiTGZPHAFDOALZIw/PFVEPBM/t5Q9v5
rMSR7k0+cH+hoRsT+GgsGnW8V0OcThAyyVci6o6EN1zNGK/bsB4Y/RJNTurMiLBCG52a7pQbk3B0
ppxIroVBU67I78tfYlGtd1kV5XcMNuFZRNW3HLHMn5Ej/x0spE9XrcNT8vKLg8W7BYtSHt4T1h/J
xGq3uOV+HCyUP1iKZLRVtCmZhbwb71jQdMhTAqDGD0XGQz8OFuYfOj1STgHw2hUWwn8VoUEE1IcF
S+PJWUhwRKSJItrwDyNABhtsYVWunZM+Dfbgoiv/ehyTvNoQaZB4w1IeTUuhVFExgSVMt2qN8EZb
yqnERyuULSXW8FZtxakprscOma+KGHOlYA43NQrzIUYDmgT5TrBi7Wgsib1jKq71DJYow/i1NZsv
Wtwz+J8g8QCwnjHOkHyYj8M+ztO1YPbLWxV3V23fMBcY9cd0JDGsiUPLHTBjp2KxmRGMDHJwVUk5
MZk6SQiNjLolz+pNO0snq7FeAPNcRop5nitzy/z9GraLJxTNvRCY5T73i30VWts6VKOtZA33aUtQ
rxBeZ7L2JYhMzucmOjA1UUoaiMEDDbytYpYkP/kPMCSeOpJm8RFX5EW0/eBB6+Ezk2FBF5y4jhof
t1FY+4osjFVSyxiN0lOFbxqjekA+ofpUh+25Bbja8kUDjijsuRgArfnlLjMSw2bN37DvIcxnKQLb
T42QQ8/FeE3fAj23Me1mX7g36/CSLCnfDtt42wWIeCtKS9eaQpwUC9+D9E6wccWGpu0DomiP1iQL
mELCWjClsx2U4XNDYIY9lZLmIJ/2gBPvUgZgHsnyp7yEkTa0aUhsYX1b+qHqKvVrRwjeRk90y2Wy
w/Kl6Q6H7FdhRPWNhvFcLXbIOULP0hvVjVmbwIWsdANQ+DINmg2xHuyHLLtxWxq2FgDqH8VgesSC
sDMD9ZtBQxfNOLsLWpEHFT4YgKPHUZwvKyQhTHwehhLmRd2Gr0amwpcZEkCfDRh2Y9okRIhAiJAa
jrwD6AULXoakMTwqg3Usd8+w6Gk1a8qaYu+ZGFZ+HtcLXjbSm689w/MDLXuGWdliYWoRSqbOsBib
+PuB/UyL28nXIpxPPRY+QvxMA+wP8UvcKdlA/oQkPAVrxzc+I2Qm0at1EqIc1hbpRhOxqkJA5RqG
m6kXzzMvwyU7hUHymAkblL42+XfyTlFixYaNsFKqhYMXlcI5DjB9GKNYuApPG+lIlZIgF59wZCnR
uEULpq20qoh2pjmyy/ba4MKoaBFXgvER+349ALIwxeAMewQpiywdlY6YGqreS0yJgdOk8anSMabI
0h2Tj+m6lsjJA62Pm6KCG6owZpP8mt4ImSOrWlcScAD4UlRwxrhQFLr3vLMmWlkvky3BMXIRQcPQ
9ScE0vSrCrjcwnRMZIAtFio2mlv4GFLkXXLUfK07wZPAOK16pd7meqcgPzV3AlDLHR4W0ylIH11o
DTXdACSHGogtl9wRfaVGSNLy0ADlAUN/LZQpFKh2Fp8rSb6Ps8xfW2T+ukM9mF4+k3GbJCkba0ar
pBFikeKiKuhnLvfX1zOQg/6+YiNPh+EU8UbZw0zcqlVfhgN/tShoayko9tJEsm3mt25hYfEnzY8p
gGXaY2gwFDc77hCRDeA31tDHpnWWZ5ehFhEPtwjSYSHtzYDMa/CXXqQlDxAgvE5oruek71GX4ykK
0cbnUnJsuhp3Z8epEnqK55flhmTDV6TopIpSlTogh3lhUZ/JR3PMbrImTg9W2F/kfKNMdoHfZgUI
7wCiNVObu0nP14Na7hGkv4yFLKHpy3ZtMtDvl8jdBeXzX13zZ11D1f95XXN8al9+Vdfwi9/rmqXj
j6BbZ29Xl5E6P/o+S+VHmow9nrAr5e0I8aOuIU4LCz5DU+0vHt/3/oOBdMTgCKFJ/wtv3seqBpcy
CdmmjECFVUt+E4u/0wk13QACVZ8GAqAu6kB1p9hw3n0pv1C+8ff9LHxCbM9JBBwAPAKSSz4cQxBz
JErHpPTcqDHhSreCeLa0y0bdSP7F0J8ayf38em9ux0+vuHyid3+TPJJjCuKoO8dlJ4DPooUOtKlA
rVAERXM51IW561u6lHoCyafR13pMC6LyR19zgVxhGQ5y/XGULXmrL5v6VEEjkRoIOYoZHrQivc1N
GX92LX7rheTVGoX7fM4uCuyPnAQQpCJQmex8SmHFy6Hp1ikWxCyIgo2a6F4zoSbRNENZB2VUeP40
5nY0YsM2alZDqp565RO+JAyYh7royuz7PUYGFN9RfxAqn7sUk9Lqm+z/A3rIiUOcPlz6jB6Qoiob
crcv+nAh3tDyx9DIDhXsCaACWiB8qQUUOH3+2M8Knptw09OvpZnTeORwempp7pC2jitCAAYW2Lph
2jMdC/gI10YrWuzD2tTk1wVZuRu9Kukxc5asgKe0l3Op8h+6rB6Lcxqoh1aUlgiVWSMxp52drFOq
r8iLDjr1KYCuQ2lE2zGhVrX8kyAmp2nW76SU2UQlgP7mULuu5egZ6sW3VCg0d9DU41iq6OxJ4ErK
Q+uzK3TTFjvfhUhGeO5XTjROh2Eih8tEetySw0UO5rBvevGuYtCEdT5YZRC2cIgyv86m5BR1+UWe
tDTZKbnmZCcSSERSJhtV0nJyqEbY3U2fiCuVEG5QbV+oyEGtCGKwlrOy23bd0Hopil960tV0SPFx
rUG07mE5WcJwVkPzioVdWkl0DVZhWK+lMtv5aXSBif166HNUmdwWbF2uyaTayNpvKIrYSvX4Ug4G
1+oyQrZGJuOy7iAWukSsCH8QsoU+qN5Q92uRErLVSVuQRKcoimuQgBeZDwF3GJt+1aZJfzVO4ZXu
S9t66ByzNO8hZNijodU3pSgoNof311wB/OVbHiw5egA+5S1jCinpX8SBY3qnOxVQPpsVbAuGjKwb
jB645FYofS6IlTmqxKRWWuaNouamBin3o8/su9jUC99nbtm/hBOjRkceBBz8OmegoF35MApXCvzg
ylJu1bqxZd4Qu0rIjcm1lJMdPt5tnebrMgJWpEzCLmnmG/Rd4WpK21NUF9dxLzpQmHisfU6PnSkv
BKyn2DCPRZUSwhMzyhsa0At+M2SU8VCA3paZ/8pivN6fbHqHp6Z5+VXH/d2MG8v50oujUfcGG1+0
p3/teNIfyvKfmS4iOXzfcX+Dz8CqoZuHCwsPAjXz9x3PYjM0cK8v1THxDvT//k0nb7G8v9sf2InY
OWWV/5UZYdLM+7Aj9R0rdlnow3kalMZww96HNt0t4OlgikKQV/6+nZNAYTPs++RW6iSgE3Quo3Zb
zpG4GnsG04cGrfrsxqPcQrEZyrwgrCOHxfM8suUhPyxrf3bboOZcj9JnM76RbCxxodpMTYO5qH2j
3fjTPFtO+icGh94VTe1KD+SZTJc3YM5coE9eGR3zZTeTce+6qiHB3FggYehNEsnrRHIDvboPVO1L
KhHhsia2YctggFN2rqsEoQn9tBmVqYtfB8Uc1wEx5iJJ8YSkuUv7dAMROtgJvpl+jcB1OFaAg4KI
qKl3hRSNEvnVFKUhKgAxEzCrIJP62mtMumaylr0WI35IRULqpDaFr/ogqCy05ivlvbrCcEq7r+Rn
pcC2BfERSpVRDPswgEFnLpVEEGXyCoknTngYP19Fw0goTdoEHCw6wVUt4hbtFuWoNEXixqxVim9S
F58kc5HjzEWwK2shvWCRJqZ5lCzPLPOXxJg1T0mVwAXYoXpN0Uau2BDjkwQGdFytSy8SEWNQZUFR
LXvi2LCjuyZ7zSowlZcQaNaGkDgeC7yt7N0qkN8iMFaiLnxFaxBs9DntbEpK0wvr+tUYfN8r4Rqx
jNPtcIaawIq0lQ2vKLJmZ2li7MhCGB/5zFiwC73YJUNvR10MNdHQqHOMYbq0LF/zBqvI3GZJswFE
DFixVs3V0IFAz+eaj2kq92meyJz142BV1yqTyAHWZWEwqGUIC5sIa4MH57i6xIuEoDMY2ksjogyf
J6nCRzfhE+IslK4BLo1u0xfgUdWxdEfJ6MDnkXrhj3myYRyOZ8KPs/+WzT+FQeqn5lRmIO3T/6ye
6q9Pvwx/eOdQZfXkJK4yboDRhfWBUeZfq6f4B0umaNE1hNnxk2pc+wO3B0mPpr5ogZh4/Fg9EZTr
DBffJhcLG+RfzSv/Vi+Q/Ssi4iQBgqaYrvDp3p+tlVASBlJs1VOYPc7NaRwf3u0mv6gW1MWc+/Pq
bC3MMmIvJFBMnIPZB95fofMbtfW1sTt1s+bKcvk6leop9eMrVHCvLYCDGnCOk6mEgElCvkVYs6mr
2O0M5IW6oBdeAaovN+qN0Ig3cReuEb59E1KJhod16LSaTDBq4dUcpmcJWnSCFKitMOtlDa/CCOwz
4Eu0tbDKprUCEILkX1HbjuQqvg6aSAOAsSeyoMhwVHJlvlXykiNLueGqDUryWgyE+5jjDGMJ9bkL
x2zdSuBKSFWo9vQe3xKvzkZJJkNq1vdWzTYjyUuuj6oOF/GIBluRi3YtYdJdTXW+7+voMZHlA0J+
NJIZZ9wAzHaaFxuEOzMqzurG11JPmSMi4ukcIdx/FMQBIas6vmaJcMbGTwskm8m2VE0nKNtrI4Yn
KJZbpbIeE1HY5GW3azG/0vqdLsfE3MUzva9grh2W4V1lGE++RCeqNeJNQMOnS6KntvEJFjLUpXuz
QWx+FmZ+PR+c0JcfmiTYAW1EWakd1LzSnFrujynpkHqmwO6g/zxVmFBV6zaO5nYD5eii9ouE82K4
byOorpXcYiqKd6qg3rQpaYTyTA9MmdXrCO+8HTZj6HZmtJ2wGiKj1CAqx7qHdZRuCNDyTqV3LKIw
EZGzII7v18QY7/DD2Jba36mFAsVYO+kNzsB2PieRehVmADA6P2No1R/pymyLaUCfG8PcnCgbrGFD
MtmBqfy1LhXZqo3TOzCct5Jv3BEisS5qfWfO2loY60c2XLbu1oJo0TwU/PFIPUZPmOZvSWq4kxHa
ta85SjIeygH8RlcFJQVGzj9qArJSDX8V6MYjb8E6juKHwF8SJZs2XgtU0EZZvU5FvDEXwrtSPna1
+CAI4nVjLEhN8iv60bJFLf06J/5lkhGyFU7BgZl2AuQABKUqGDfhjJ4MFLBNPRqzoWdfLYkgSYF9
0jVx69Jhwt0cQWVxhBKmpaZfx5Z635VNQK4Y3L60XN6eeLgWpXgvdEBX5WqoHI1EsKX/ejWaND47
IC57hD30e3Wlca20BKKrksc8NECAiLZ2IyAoIkEweKJ982tttfBZkUcUq77U0cZlde+D+Z8EpAhx
1EensY4QxlKdORZfBf7fMrBrIUmcGMSVQzxSjQJZEN12VptV3vrJVWHqZCNlnbhn1IimYpJXbVXv
ycs7l2rZbPMO47ekMMWQ5KrZ4KGK3SDqDhzUqF2SMvckDhH+OFvuPNJF69S0dIu2KtiGo/RspGKa
LGkAl3PPX+z75bM2T7e1rzwZSbVhfWOoKGW2JQkCLBfh4Ccy+rcUQH2ia4z66MpdF8u0BeqNn951
SX419JDXSNk9q4TosbLYdawyAJA6+qL53qiIQ5Gho0rGcJl3mLzLpQ9ZTLsAw28KDI5Wul3O7SGN
BS/UwqOYindJ3aNUFHeD5adePiaPauxrqyYivtz09b3UilDS1cj4Wg7kkc9ztUQCVEN2k0jZsMaw
6SlGAReJ0YodmnOCzz+qj7OZnBS5RJ7RXEqVjnQci+eYMQYFwuSw5G1lye/Aaej1Np36Lws/BK8P
LQJ6wU5Td6E70ajGp911u0HUi8d8sXWPkfCK2hHdZUe4IpejmVrq6rlAuwHzPDEwf8Zh7+VqNnks
/eGdX3EFXCU3OZJPxOGiteumOt6h5zzliILs1FDMbZfIDHgK44bOOdRkNV6yaGU81JPq+2tm+Te6
P92YuTbfz34OL7JDOad1gbQyhnHdIuJGHQNStpiqwmZeDnK917r7OkrN9ZJ4DZI7GkJ2pbCFNptz
i4dyrZgZuTRZ8aD3JfJL4DXG5HZNcRYnY5dU0xcxjN0eUBsgmPBLl8o3ZldZ+3Ea+20hxLVT+Ckh
leh5VqUoPigM+xxlVKv7TiexAdAUHPyQBx0eERJYX7mXlzwxX9bGtdkJFmMRcfpNc43p5LvN2cR4
xgkDkrUCPtRSUAn/vDnLWUZZF8T5qV1Slsd5q9F7Gupm/fkpYJmC/uI6dAzpg5F09bdDQGvMiPbD
/JSl6bHR5S+sShdmlj2yXNawBCxuwJRu+rFcp2ayaeQQeL+Mjyvfs1IdNNSpsZVchn53pVeiq4Sd
3VnMDwL/peh0Wnq8AupsnnQxePr8o//yk6MKMySwj5SzCLzfH1+0rCui1kry0wBrJ5huxDizw+Lw
+UXeStQfqjHugwX3UqHzg5cYjIfx4T5A24JYkTBzKYOwWQm6ulWoE1eijwecohXuotDfMyMpLnOL
Z9ASt4M5ACibEAv7CuayOKP9NHeXzDat65xdqSsgEovAM1SSQW1NJjtEK4JTxIyQvijfucx7o2fk
ck6WNl9pUvqUkBUgpUHkzUNFn0XS3RAkg5u0yrNQy+tFMGazKsFgRlBjF5XixeRHwiorOdqE+raa
5RfmqE80pKjwSGQZjfQ4zQaaCGMSNqI0xEcxJJZzHjvqRKmF1G/Rn5ai4NbvpOymGjT2Dyk4aFlJ
700v240uDW5fsMVJTKpoZiduKcpnhu65M850/iQlPfjiU6euO2iIrIsPpoBVzxikzRSrD6lSh25e
5jPJeTWJnqIzqxw9Rl4zB2JE4YxCtqnbDPy1NKLv7p+SSA6fafV6Igx9IvrCo1zMcAKaah0pJGhB
ob3KSEc6WR2tQH0e94xtj58/DgTDfXxfeB54IZeEN8b9dPR/fup8RShyfoaKUJKfFKvJnLns05Mu
4LlnPX0MGo1AUcyTkk68QkRoJSvqkW8FMkSYGBs5aI6IrlfDLB+1wrxX1DxcN5lWrbtOpETWZFIj
wW0AaetNgrXUbIMUBhodxj/HrAXOIyxEYlbQy9aqa6KpcUKFTcFu0DUUpgvomqSMbH6uC/3JAmRo
91Jh2HUmf9HlibMz8j4FEIxeIBev4S5BW9HvY5rYgy9/A5a0sDNYBhgu6/l441vxwWCWXRUKxgAm
p+gQu0m+1vr+mMThNcaeKyh6nj619yYAcsJ+CtHF2cVZkIB1xh69bS4tDCUWHGSP7By68CTwTNil
pTxIinAvhfgYqnZW3NBAdD4LKN/HwpXU2hPFeGvhq5ELg5Sr3iE0TrRJPtsbgE4HCbmDhC2+S9sb
BemlBRaqKaYnZWBYqdRPuaG7BK4eEwylONPOCIQPRq6vh0IliSIiPjM3bNmKLpNSSLaTObtFM7l6
irC55EBT6AF1CS9jL1iXQ9W+Iogmw2tCPt7FUM+AWuCSdWTEaZKkH/SGEaZScZewUbqQDexhOaEm
HSIpiWQcabgrihYac3ShhSqxNMVaToR9xi7OQHljSikm0GZNeya3tipzkIU8kvrDumV7R9RdAnKo
YidF6ImRbj8TXGtYEGMGKRjsBpU6xiVpHSPl18juhS6/CfJ2HwzVITc1Tr1tKpzTcigJnTF2akCm
K2k/BG0Y3JsykuxBhANTMjVoqBJSFA4KceIdnWZ/uNA114B2NpgnOEI68gB14xv9Hb1tOD7iUddA
u4y+eojDAQWK7/v7TibluNEkCQKun3tDPzsl54ZNMZG/PunGpu45hRjF4pin50L2j/Sbre03b6ry
Qe8rh9YUW2XSMXxiFNMcCS2xxx5A4nBO6qNExfL52vCBcPC2U7xbGRaV0vv9SCapmuqClaEoXhDo
9+MV7pc8uB/UPzs7/wiWQp70Yc9mDQJErsokhRvEQy4747ux29Agko/JuEP8T3400J9myZe40bBd
bMNC4JkbexCFNFCBsUhHc1HD6DGU4TmmHTnw79qNJLyqonk55grZu0p3K0TFuRCN65TjG1UPfCR5
IdyPTg4POWujxxx6hoAd9CroYPZrYdh6cGH2Gt4CDhbuJGEL4Yjn5a1i3FmydV3OqUMnZdcp7TZS
ZJST01YrrfOQBPuabdsQkn0i57xMwkIUtMdSusvK2o1SfzuU0ipOYUO1WvY0i5Nmp0PwUI1WfScH
qATkRgl+863+3G/5c6N//6Uuvex3X2qiqzkBkOZ4MsfHcP46mbvPH4/f/fsfNg5RSDkjB8l0isxr
bDmrSvny+QX+dh76+anQPzx/mZ4lYkJ+70mTLyJwyHxNYjjZn1/k547+928JoT5HUkljaP7ztzQa
zRBikQFoA1myfW6HjDPJl2g0fnM35J+fcUYHjFoNA+Q1zS+OpouE8P3tmOIoH4K5lE8cY57Z1Jyb
dO07gtuvIvtula/utrrdH75eRXZ4O7pPqTt95Y1uNsr28z94iQr4+YD8YcP/cAC0QB9ggWUZade9
I9qiO153HvKTteWCambW6PE9ryUbL9MqdC2n7F31lD9//im0X32K90/nBx926jepKeOrOd2PW9lF
I7W2LowVk/5V6Hh3mn3QncyzTuF63OTX2uYGNbQ3blj3VrOHTqhxaJ05liMcuk3uNeeQeecqcG6L
VXcSbdDjW2tb7MFLfMnW159/9A9y7u+PzI/V6sMXKMhNlJZCxHO5IkF93byU6/JGcsAXOL6DCM7N
19mu8C6eD263JeJntOMd4IQdEeU2m48Lzfybb99+/qnkn5uff/tUb8b3d687/KS+NnQ+VbjFqGHP
m8zzb8iexh1I0tTKXyHfW6Weeao28iONNPfz6//6Zf3xHn1YbVhqBJjF03gS58I1hmE/CwnRXnDx
Pr/Osqp8LF/gl/z1vn5YdczIVPp+TqcTZ+pVPzyL42bQv06KW4kIpcv151f79Rr319U+FpMCwX2K
VsXdKWS0NPlXZXD5f7vAh5pPGfFX6sSnnEAHyzF9QOt3Iprf3Jg3F9G750LISjM3Jl60AkJalqxL
+X7uzN/cld99Tx8Wt0ZKIQkbcQspnruCso2cZPvzb+p3f8eHB6wrZpTyTTadhn60Ix1+w2gjnfn8
Ir95uowPq5LuB8JEc47dYNRRqcJ/SNuzonS2AZgxHuRTTyDo55f85d+lYQthDEx6yjJ+eb8vmIqh
+GXUdieVZDGIB0pIk8/7/Bq/vD3vrvHhpUGp2whVqI4nLQZ2LF5m2W+6Cr+7wIclcU6yEbZj1Z9E
Fm2a0RimfvM1ve2Pn734y4by7jkOI4Y+fspzTG2wwgmz6zfJkRLB3oFfcIMz5I0/7Qv/eCz9IIP/
vqT+9fa/JXW8u6RE/w/yR8gedU9jOGdVhbazYlj/JB3mbb+6mFFwsnVrLmGEK/NSWF217rKrXzxU
F8qOqh1PrDu1q01uh97vPt4vN/L3S+HHJyeqB1Hyeemk87KRC6vGS9VtLtmrxFOdu3y1E1fT/lX8
SnFWf5n2kDR/s3rJy/L02U35cN97odHDypo4SziAxB30r7K+svapc4VF/KB4nfMAJHuV07Fd1x5p
IrbwmxX6dx/howsSpKOgYlNsT8K+WBHiSCLPNyS4jrHvXsZN6WYHw0PR/xo8KPboJefAiV8+f7ve
Cq9PvoWP1LykVzKV2GCYJetxDXBqFS2num1i3/TbcbslmnI1n3Dw3onrwsnWpWdcEKTmdG64HVbh
Y/qblfKtMPvb5/nxumsfCkVTICyTUrk7Va7q6R7k/nE9r+dDtJdWz8HWXye2uS03NPUOo218cUnf
4xa1XrK+jpzlkPD/Dwf/KZ4kVtJ/lvken769/Gpmv/zWd43v28xeBqeGltdabDc/zexRvsJRAsQH
mUbnR989xmh8DVzGpopHh776e8WT/oexWIBMfoE5OIP9f6N4Ut+KrB/PEmWLCW+BPjFjdRQF5vIh
3i+79HWnRm6l4Oxb2dpY0ifbBihYSiCl0qZ3JQGV5Uik/ExkpbFkV+YZqfJFRw9WelGXdMvB0uDj
DLDdjHQ/AnhbzVYM1BgZHvOty3xJyWyXvEyT4ExxSdD0I8tyiZl/lrqS+B+T5QVeRi/1DzrxmxKs
dW3J44yC8FG3Ukfoh+C2ljtxkxPeGWSDbxu+Bry+lQqakITiRahoA0l+IDA5d6olB7RRSAQd6H6v
SQ1/7YfmBTMzCXwYeFyziMG/ESlaJOEl+arU68MtkAMYv0v6aKFFyLagaGhLMmmHiBU6bgjH3yi+
msSXMk88ZZpIBCnUCqdbMk6bUroQCD2N0+BYEIIaL2moca0RSBTJF1ocX4i5Mq6iKF1Ga5j5UtZ9
D79xT59neCbOkymZtChyQxP5TahNTirGN30/XZCqSbtLhHPXKHDlQTJfNwS5Zpl0SSxDTSQE4cgC
Ya8hoa//j73zWI5b6brsq3T0HDdgE0BE/z0olDcsFj05QZASBe89nr5XSq1PEq/rG/EPenBnUkjl
gcyT5+y9V9iOUEbgItscehcmYNhAo6MeFAwDGaiCFegsUBhRA+sgVOd7SOLQhZg0rjpG+PiAYM/i
Ro/XbjJ+RhrG+LAPNU/NVcwhklprEJGxKgHZigqgremUeBN8/zJJ2m1IWPN6ClQIuGlG4Kqk4uaS
j1sIZVPIMN/IXhcAdCdM2ZsmMKQSLiTOP7DhNQLchRJUYSNHkSaA8bZBRYKxDZ83DbJPrRuyB9vo
mciWylap5PmOgH3hJ+xEUJeniLHHkiedoHNGDMhJHFEBA0e+1q56yQrWgQYnPhF+Nl6yZSyJwk5n
W1dqA9alZhTvBd38ibm5sSibju68pBLHkk/cSVJxFMMsnifnZGemu3RG8V6XPcm/rnaVDyQ6GC2X
smXG4zLoybIpg8kh8Evc5iCSe8lKjrKGa8ix023bjOQkB8OtItnKCKk/2ZK2PGS+FKHlmIgki7kC
yuyruLcqMzW3oKae3Vh/UwE425LkrI/NSYFjw/fsEIQM7nkOq7fJNSVhgXHwMm9cccE41pp7baZd
AS1ashLGGmqCMQC9Dh/HgHteTxzmlvTycfyN60kyF+whex4khcF3ItoyksxQWdPDGMBqEJLawCyW
9DA4DvSHJyieBVwnGA8DsAeIGpijJP9BCwOBQRjhWSXpEBAy72ZwEbUoj53kR3RF/iUCKKEb4S7X
nUPvMHwCOIHdeKMDoAgVptSSSFFMCNqg6zFsqM0byHr9UuN51xUoC0cyLYir3JHaDeUi4Y27wbYB
f4E48IsAh9FILkYBvb5A2r0nzORVV1FuVJqMAxpbADtTL/aoTSBiBKPfebHdto+AVPpiPYalCYJG
QVVsMK14KMZxeB59HcGEUJu+3hqRY70ESWHt26ZMg+s0SANn11aK+eIHQsc8bOGnzNykXWKXftRC
kwb/qHNp+EEKJMaMt2ZBd3KIOVMNXHcrqxzx+6Le6MwO/QsCSMx721DMspGPi2eIAsDchX9x5vk8
5l3LIWmePTyc1ynduvuOcNFVVkYsT0mqr7og/hLU9qUWuCWVwVpPUVNuydFPPZRGN4bbfs6m/qGy
QJxyF28cn3QFl5lapc7XrhkduoReZlmqr5oUQBX5QChedqMNWuq1rd9sK6BAXGv+eUpU3ZtaeAEK
CbPMUwct2eUSc4v3+tUu+nBl6CBw6WEcoyR+02HjFvH4NoJZyaupXMzQc30TjG6QIu6k2Xqnjkdy
ipZZsnVw4OXzJupI++mdcyChvD10XkwYJOS2O19ie234vRouPNLomcCkEu5rZ8NtNoP7DSX4t5YI
4NxAlwJMPSPOJiJ7gnyKCWKw0aualw0IvXRowlFsobyt7aNfVteFBA6TxheSAa/cVaF+ZaLeWFoB
KO4aiboLrzgRxXUBv1ghdsgrVPEYO/2nWCKOhzE9DBJ63I/twSdr36roEkNFnizwyDqc5FICk7u4
XEcMY8vGAQtPqhHc5cATSoG6BEttToicx2hogXdkyVT81nZJp8JW8i56t14PEtlsOO0hlhBnvKNA
kKZxTRTn3mwBPXdRiA0R9jPoB9ZnTKtJj0RAiW6BA75WHZoMFKEJ6LkeiHRi8FOrMPXqDr60DWg6
04L32HW3FgDqQuFffZDUbQ+cFkR1poffzrP/1pNy8vHn9eRzkf6BY0w+5ns1CdvSwrDtmBoxMy4q
gp+qSf03IjSlRt4mLoY//qgmnd8Ym1LmWdSLGm4rDpLf9fPObwZWb+HQtMbtheXrn1STGIV+OS9S
TUqyJUUrehNbKvnlefKnEzXmGLTdeoyMqvUpm5x2afv1XavjX4z1qV3OWl4Q2KSlZ73Nstum8xFj
qlq37WZf8zSgrAFrG3A107gibQPNVprBnLfjd2MWhH9Rvh2Y0r653VDeFVPRrJIqHa/dIKCiyxiO
umzW0Kz6U612NJ1BrPdRWJxhGXKsH/LgRgsgRHXUwyQc+tqy0bT7DInmNk2NbhPjeC6tbkdyA9iJ
juOeGetLNDrROY1Aa2LhQ0EpBoiMzkM+69F9ZQ7FKSQ4dN2ybHogpphu8xWcaWf461Ft3W1VEHQV
DBycETVl26Ek7w16m7tFS8B0NbCfCvwrC7OM00XeZceumjaJqzwPzCIpnDuPAg2bTVju1c5cJXag
rvSg3ye1cugL54Fv81SAlyOZjGFtIZBR5Un4YvXmK6CoEa148YhB+7G2chK2wgAvWBDdtmaDEiFV
BONvzfZEEGyTGfWoIrJ3I8C9PAIeFTitFtjTu4VLDbtuFStYh/6gYsWZAWilhGOK8pbU/Csznd6c
OdoafopmsTQ++1NzDcW6P2JAkC5txngVw1hjJiVj9ucrq+AnbctxWU3DdZIZb7pRP85D8knxUfEU
YbhP0vEsBlZGuyQERAvwBSmDvkPxwmyNNK3lELhnlHnk6WXmFsnmsRgzZ1XQbltYWvhcBvPFNM1D
XDEvVsZZwd2WUNb5gMaFUyXO2ZjU2HhTdVQCO7uljLeJH1C+BhHU8EGXqVU3wB+sdwUbb9Q5qOuU
ac1OjKRFZhqofbrvZcqBLfMOAGwcDZmAkPYw43yZSRfIdLqJmDqnYsjdyOS62rJ6r3fIWDaJtav0
0kTvQtJdlE1g1Ai/U2UKnkhmvmSZjEfTnV6YTMsbuME9VDhbgyC9VCbq9ZG5w9su+QmZepfL3D32
z60mk/hqmcnHUDZb6v7gzTKvzyC4b5r0bSST/BLLuquJ9tNlxh82TI/j6BXWc3KhTc5J2UA9aBMN
qOCqONvQJBZYJ1uvlAmCY23e9jJT0G+tI2C20nNl3iDO6H2ddiQQEkVI0coBoYj4lUgpTI2nRvPP
yhCwU1FlEsC6QXBJsqGb1dgeCTsMJtgvpB+GpCA6hN62KJs4FdgjX2z2UobNHhhiuUsU8HdppGnn
cCiNpd8p4Q10uWCfm6BsOse/6ivwabErVvrkzgs46VznfUZNWo6XSYO4hWcT6fI0o7DVdX+rVi2I
t6YwN1Pgu0sVXcyurPJDEKqIcoPO2DcimPdVrCkbs0AxVlTlRShsunMy7bH8PZVKZlzrMboWVr9k
p5Dg6oVJuVeMwQvGgIFQXD5XRD58aXLE3yG38cWO43eG2y0+HNdo62/N1H/3T5MG5J/vn7dd277X
v49mkY/6aQeV9gg6MsbXtGk21/94KLTf4HBoKBWkjBHG1o8d1GWbJAaCqRS9GFJY2fd+7KD4MYSq
YkHTvvnW/oEDjZDq3+2gcu8mPM5kLyc7hvf38w7a67nO8cGdzgS4NGuG8PmqIRefnAfD8auDo3Jy
XVS9pYDq9fOSEJbuVs2sjeUkVNr13C2iULWOYz5WsINAn3aNuTehunvpZJDBprV0btkTtmPPdayb
yLbRpaPqmQJr08TFkztj6lQs9VNeYSEif+6SRSjw/aGgE4NyDGqxfZ4dKMx50auLoLQTLyrgCMGA
MhYdxxMvz/RLYijprmcdWUJPXqkkxm8B/hAAbXDm1RA4OXRbcsuLyuSG4Iz3Ialuiz46ltlQL2tV
KLt4VMZ94KYpYQ5ueVY78UIXjexPnsUnGgFL/bAklHrZjHm69Af3pJp8NYbO5hX0FzWZH7KuvHfj
6hCFzQuu1k0MONuLZuBUuRMfTaKXF91gnebS+czGlIAnSyrP0fvDZMvlLR0qT+k4KYRiXLu6/ykJ
jWZhOcXap/KwleqU6+VTHGXVwgaN4EVhBtHQmt7mSL/SCAtZDU55E4VB6rHTVM51YzjKtFG6fFqU
Ia/nq4jNKkzJjlav6rJAtzyuVXfY6CpcJc3F6zG/z44TrSy7JxnH4vhU22wlDdEuedeUnpkhIiW5
udy6VE5IMc3HsktPnWIE2HPLVT/q1rKZ3n2UZThm2Cz9QCZufensAHRoYuXL1pyLtaa2YHRT/dqv
J0HwFCfNMi4vYT2/OhWwRq1FyB6mhfBqdgnMg8Wu19uHOC4unZqpQE8pYSSidK7WVvo1MZsySxOX
cQgeWzK5KX6aQ1C36bJXMvwEgsvVaTDZI3KmSpwgk9ppHoHORSJQSMlMVLmEzcRUB5ADqkYc/MFB
sFoh8Wmt6JXWhgzfLF7t0ai9ZuQY2ij+vPVbxHID51D6VCZnIfqGC1Wby+VoBojY2uDW9m2uKeLe
t2wtp1YWBJ0sDdDzwzWX5QJOKWC3w0VQR+SyoMhlaWFRY2RC3wpZdPRUH2PeNMtU0S06ENpOlSUK
8usWORtlC2qgczEqu7pgeZ+obLq4e4ypdEoqntjsiFIJqLUs7arWAxLDqI76wVJXsSyYfFk6udRQ
BrUUPFHi0ctwa1BlDbF7Ner5bSTLL1BPz2nVqtQWlGb0d2IaT3VHsikGlqLCLE4lB9HvPZa13aT7
m7kj+BhPtcDaRwXoUgoWsiY0SHlakZX8mFMuajXtTkEBWavxC0kspD3L2rKUVSZ8pFNH2RlTfuKG
2Dtupq7U0VoJClRfVqodJWsva9eYIpYYuY0kyhd1li4GxDiLkIK3nVErYqN1t72shpuvdTGJsYuq
cc2znhSOsqysOfr8dTf4d1uUot4/3xbPCEeD999vi/JR37dFchShmupkm9gcLr8SLr9vi2Ad2DAt
jIXCsSyOOD+2RYMNk5mGYyEv/jaL+M+2aPzGZiiN3Dyt9fU4+g+2xT+KWCQyy8JxrMJkZe7xQStW
CSy+g636xEJoNJLmNCEYSiYQKmOlHnKbNAYG3yQUmnG4j/zpGXgT01s7/mRwLS7pfA32VoQpS09l
oNFVywpjKz6qwCPws3gI6l5MuHbVBjVrSDcKT7LQF9SY9auZ+tE7+f0+AVG5JYN3iK3KgdflAG+g
00RxxTm10aW6yqQtWVN97mFOk1ZBrnDjd65LiHGJLChG+E6wYP1FcQK2Qla2BcjHfhHq7mf0r9x0
0qqsGJwD0j4IFkifQZzXwT7ttHM5FySpq8SNDxfNmHE1uFvU3UezSHeIQ3dj5M+eJTDHzJpiETzY
d0sdvhk8GRxwpXIdI8K8KX3n0JZhzJHPyaHSNPSWGlhxujIkq0lgd6/xYxMx253HtjkrCZrGIaAS
mEwInUUxrLiBhbsgaVoB9G1M9ZfEaG+jVL1VhZYh3k7b/FqpkvlkmFCUq5IwExE+MRHxbEIUfeyB
p95Mg4VREN3VBLGnl3aAYJp63O2W7mRkt4qwhnXpVJAGcQIsawKiwTVzYk4FSAoUuP5si6Wu5eG5
DwZ/G5Uxvi9Q5O2oFDcCi6MrpMSYUA7DxXhU6oTKR8qJRjjcHPyeU1ea9w1sCTtMIukXcdYqdgUG
Epk3dnO9mEu7fLb8TlrAFBdhao4O3muwD/2NdEPWcz/mb2gQuOHozAgcsziQnI+yrlgNBxWnVHyl
42dYG+mgv4YT39MwEZD577Hgm8NaZjD/+fp3egWX+vvlTz7o+/L3NbARYTK/hVys5D99X/50Ahsx
NNMFANGmaxLP931KS/MM0xiWakdF8vk15vH7qcD+TZJ6TRdMgpBuH+0f9dVkSPVPV8nXvhrYBUAP
pnwXPOGvpwJw4ZYQijqfsRg/VAZjxJQiTjonsDrP2dqpxEajN2tNiofT8wH2IYlvHWtU5oq72DFP
RtHusjheVb3jN0vbzoipizhD36ckAK0KXb0ESl7vWuYL7pLaQnnTcSFyPNWMPjygeKcPZ+WqvxAp
Zl9sp9Eqo6K5qOS+LTFO3Q4Joa5OPxHhBBgHmfayDOHDV2NxN03KA+DGe4NJ40LVGXWoNWM7ZTqH
kbPXAN9OYfOpng2WRIJegli9KWP9mm77g943+TKE7YA6ODn1ZQ2518+/TDVwmBD3gG+SW6fXuIct
fTzjAX8l42VcWijEl2CxPuNWnJetimHUHZ1VoLYQ0ItQWyegiqhmFHPaDWOheBgaDlpnn42EZrkW
HuZONltCm4S/EKALR4K6Lx9D1X1WTJyoTmpcEs4AqL0fkggQSx3P93Q/132nlVcaGURZWXwhU2uJ
SfvG7eSg1yDbKMh2WjY9JE13UIr+i1pbEx2HiZIMERohf8S/KUrS0plLtlXDAmuEwlOmQl/6utp5
Vhk6Z534DcIaqsTrWzxXYTF4rYu7pIjxSWVEbqywtcxsUKXm0Sn+hNF3nxvatCHvnkpx1Dj86AwC
jG3X1Wc/pRdlEEsIeaiuSip76r1Na2HXWlDI72hOeE1jndoRi49R6LoX5v3aVP23BBs6TTplIWvZ
OB9fA8E5kef0itSF9SvJviHxfKGhvKpEUxGw2zKyoNekEcsJ+805EYfKUUBturXeheKYDganjry+
xVFvXtEhJmaPVidkODdeznW3DftxhjCbmkx3bEL2M22TK1GL0a8SV13kMKswdzRwHjhab9VOfxj6
VvOCsFGX2AO0K9IF4yN5LLSbWI5XoYWayO9jhfo+Nj24zf5m0jT1qhwN/QJLmbFv0m9cEwvKEOyz
hIPQWOmvgPssAh2n6AwwZfBINoOqka27thmW1CmpZw35G7Fia72PnoqAQ4ULPTYI+T3jdErPpgk4
eMz+2U7CXMBktSF4nlA1mVD/QclRGmOfpORGndPsPjE/W9ZyyHY/rZvX37aln1GlHzYr+RLYC4VB
Ng4rIWkPvy5DUxmMDXWReU6aty65nsq73P2mNPy3Rjf4Pf58j5JJ6Gvq9E9R8+kPZkDywT/tVfSm
KNOZtsCJ/LBXEQDI3EUW3nhtKPC/71U2MyCgbTR6/vOoH3sV4xqEQPCD/m9z6x+U6r8qRb/uVKSg
o3OSAcNckR+uQisFsBX79Xye28fK8SEwt9+qmD+Vbcpn+Kli+nqdqzAW2A1dnZeQ7+CnGRNkE1GO
xN+eOfMTqkG7IVo01mfgvz/9AH9wsf/6SZzfvc6HPbdQtJIWtaWdLYLVtPo42N+Oo3/6QfQ/uJ34
Nn58EuZyP3+SQKty1j0+iT7ai968t90v6BM8Vzm7Xc+0XPWa/rlkOBZdtwU9mOg9DtdBcK0XlzYH
SSRxlgdhBbBqCOUwL118O4BPHpky/fVXockb+6++cy6sn9+pESl+O9TyuzBW/gy/snzs+sjDWHwe
/Gjh+0yXpy+2oi8q/uiI6G8kj18TqT++AQ3CqWy0mjKe69c3QMys1vaqPZ1JMcf6p7l1ekzgYpEG
Usp8QRcsVLejd7KvR1p03XCjpYMgdosheq8qM8bRKlzoJb5clEUy8qAlbyrNnvTM2A++2hCLqMTa
/Whk8cZI3BjNpIMrnIqJIfqu7KaF3ldrrZ2WfTttwvncCyogOkpFpSw6MW/q0b3O6J/N8drvnhri
8oLmDnLSCRkdWgyx7KnndWo01nDPxgc8xeUyse4KWcMJIwCAXvMlapQf3dFWsxU9val6auJsMSnG
ohpyAhnMSxyfYraOPteLe1CEi9LAhlq4dy3ETjO2IAZgZbaiwFwSi4uUyMlQviTpM6e1RZZxsnFx
wC8Tghj/+hL5IJL93Y3/sUQFqdfE7djMZ3VjbP3dfGwfjY2zq89YXo/w/Lx6herMIzkHRfc+Qyk7
Pis78nE36kackGz9jfNZ3jwfr5ifby5ZUv+0TJhp2tmZvGSLZEddQgAN07xqXal/sxzJS/+vXufD
gudE2ZyGIa+joJq8Gz9XAeFdHonZwv+bm0D7dTbwbUX6+Sb40ARxeV+14Ub6OSSg8ToZl93owYQZ
mhVBh8GZwexf/6Z/tALSFEKeCgKY0PkPKyAGvdG2U0M/D/CW8vmtV67/+gX+aAH8+QU+fHdqDvCl
D3T93PTLDhv6oNDITf7mU/zdi3xYZd3RFej2eBG3P8zVvhV3unj568/xR1vSz5/jw/I4sVfTo7D0
s3Svj8StquLGja/ccPz2Wf67q6NThFm+Kb60/0s+86einGrEsu3//vWvzbe/B+/F8rV9/eUvK9LI
2+nSvdfTzXuDHf17RSD/5//rP/6P96/PcjeV7//1P18/Z4CWo6ato0+t/vvTuFzR/7w8kkf4smhe
//hx3ysjtNaGCj5Bdh1hiMij+n9O8epvsM6hxMjTPf2WXwojlYEf6QjM3YDB8Nv+KIy+CmbITKDh
b0uB9vev4frbCsA3+Ke7PQPDX1YKVki6PfR70IIbrikL6F9XJDrmiW7PenjOVDLGUY201suoqaGz
s+D5BdcFXcr93FXiRYTmUG9dJSdYfxiV4bme7ebBDc3i1nUja8bq3g3F2sjt9rExOuJ0iBSwacHD
JjQj5WHUOZuNwWwSSEMcsT6KawduKKE1564H955Or3hVX/XQNzmI3IjGyVbQRjd6mkWcL21OvIlY
jb2/7JR6D8sJUnbDAIguaQOjZnpNKqKDqoEs3I6+2KLRYDIyUccXJpw1M3cCEXLmVFZHMEBQ1xj5
/G2ZiRuzJ3whEtoyMezPk48h3EFo4fYc2/PqtjT0l9CJjUXhc5TOc5p6xF3OG0JwM6/oiRrCcQrZ
zT72TsPODagbjM0xq4tDFyaIVH3dWZqNDZe3DgjkH0qCkufkhkknQp25PBk12EOycDXIdVIkkU1E
uJkySj+FWtAaY+iNeZAec4IWZ7t8gibV4zxXSTJQ6/e5qSeC62Uqb9NtccRtVCotDW1nadsx8knX
M02ak6w1a4RzzMsIneVNacgAesfaRjl/MvuxY+ZfPORh8hkR3wUmzNIp009aEt6JAoRe28aQc0D2
Efl/iUpk6b1FCgvYDQLAQMAGOMo4YhNNJsSdWcPsDiz7syjywzwZN+Xk4AlVHfSSuW0v0CjHjNPG
Q07V1DJuJMQl36QRkRW62c1eq/UEjeUPsWjSJRHM0Rqd54q4lNuc/B5PGWiShKqzNiu7v+qkhByn
HIVRbe7aRGQPTiYxNEl3mXuO+pYRXuUzhCA4m6jhp+6+nuI3n7kWvXfmUpapru3aeQR1+mT7tN7p
16TEXy9G+TbU/kaZIOL68zlNIpTE+tr1r7lYiyuz746pm1zPk3iJBKrlnFy9dT1GSJ8R19LOnw6t
4LLTrPhY6AxUIQEsQsV5VOxQwZQ/gHGMR99T6midDMmVVWZnw60PpiuuYTFWi1byKALbXCtG9WKS
yxVa+n3W0qcWhb0ve3FmAGHQHqFz4/rroK/orfnNHeCGN6GMp1p077qf3TWtvdNscYz7hJFgaAuv
Td2G1Ap+BzIzP6fawC02ExjqjCn5/bk48+HRhg3hU4VqZ6Gp2Vn3teuKrkLlJm+K4ntO4SLHCYn5
z4zsmrRnB0EoXbmszR9D4ZJvNqU68488PShpVyIWI/XNV4Xw7Cx7JYE0WbVTetEa/4nQ7ImoZr1e
hK65dZ35mObtqdPIK+vM50FkrzTb9rPFiw76JS4jEj3cXVi25yZVN6Zhbo0yRQ7lM2Sm9blAd5Ov
6VUziZd8asZ+kxWS8dcah0ir8wv7uY92p9dGFoicQGmdtD/XrdqtFjuPXZZTJxcZKYdVBAq6SlVS
GhrefZAXINtGU78eJxOZTaRdhdxYHr+5dc5tGjdWT+2Dwnt8nCuEfTVw0UNMCbxp+QpWQ6qkW81W
mLSXdBgpxv1AXfSiDbetYpBVq4e89FSq2lqJObN83Z3+u/fpzXtx9Zq9N7/uy/9fb9PsnH+xTRc5
Apz36Q+2aR73fZvW1d/gC7k2AcKgVNhaf9qmkeDYOJ64NOEC0I74sU+L31ykObaN2gYZ3Y9NGhyj
4xCHyiSSHr2kJn3YlP9qk4a09HGTRvyMfJWNny4Xc8gP1WJWgkqf4LhdZcbcr+EemktSRp5tJ0Ba
2D2i175P5os/9RsU0yu9ci5dG9z7KTziSS7MpZksq3w6sQIEyidjSO4z8teWmsHkiNDON9ECS6Gb
uCuzeKsGAOfLrlhbWg29pydFnZ7xC3Te8k1r82iBnnJYMf/3MQXFaP/Bz/hBvYe3Fi1iI3zMrOKI
9u55VlpmV07tDVH1OsXJxQ2N11poT2M/6Z5oxxNi7cKbwoSbqooPXcd8wMKX/jipzkuEHP2Ql2T+
aAMYH7WM75MufSGLbt6ZGYZCMo/Xwpm3c6W/9E125eaEDQj71q03KBVXlVvUhG0O910YPTuRsh3U
4rGplWBv60DYGtPL8h60PPZIrNfjFF3JraeaSPzyo/BzweIStDk+ETFcuXKVLSJ9ZxbrmAFgOBXE
Ht4G1am212WbPFd6WC14i5ummVk2yaFMTQgsrUUqcRLrzr1v+ovCapptL1yZBYTsx1eOmPCHbdHa
vedH3WoomIQi58AVMa9NLF6MLVOUuunnWgmHZas37B61uqnFDM+v765hGW/VGNOX6pP1F+bGextF
5j7NeT0USo0VQGiy6zd1ntChqOJIQOGyaOLXUfiuNBodIdiRZuReZRAjREywM7YWElvDmWTPpW3R
VGnNUeD7wqnDBJoVcJZK1YEg+zQxq0VqN6TmRAB8I7vkYotcC00NJo3WfrVKZYffql13jY6oiEVP
16fLYBO+aGtUTZUB5YjsJJMBcK5lMWFp9UYpjXsLv0OVAb2nSeUcK0XbpU5xKuPxhXnPQ9g0b2UF
Fl4bJn85C4GBLO5ib6qxPyRxu4MnXCx7xMVdxHY705iUGqgLOb0GCO5xm6EbWZNjS/TjJIZFQvND
J8WKsugLv8ehKMuzWYdUceqG1DjVy8KMisXRyfI3bmPiasnmPbTacCpmfCRzm+8xIx3JEoM4AA8h
JamW0LG3uAl2bhhgqEP7JZzmbmii27JT7qNC7NS82He1+V4IsUtgH7FLvuRNei8SJOHpPBxNoz4Y
XXHqegYvZTJeEAlsRj86miAO8nnYlm6x02pzDQFqWwXhnmk4Oa6TcSjT4TA06rUamumaqfHSD9qn
wYYL0pjzOqrbM1os2jezva9d/caKykMS9aA+po5PmNGv6vUzR8cTIrpzXvafmmiiLgj026ZoHoO8
OiAwOHUh4V/BdJMT2YkKMHxM0nBNpfYYJPbGCoptJiJnh71qI/pBcoLak5G74BJt42LGwY4I6Eum
9BSPauWFXb0DcPWkjkPqOWqawpDobgi9PXbExC9mG/UTxJIn9u+t3fVeiWgfhKvidU5+MlLxMjvu
ZlAGUObDOo3655yxDKqEL3NDMkQU6auZIiNS0ZMs7FnJsxudg6aXOkOqo+u1WPtGw9jj4ZtprKUH
N+iOVHC7se2I99DcQxiGZ7NPD34wDYu4CE6Dj98vcvO3HqzjQqlTsgjdTVW4V3WOrc4hhDOrVI3U
WO0BcPxx1MxHI1EYwsW3s/wJORS+lZCriiagpzqgWlIeR7U/G5p2pdJECYWNj28aXnWFCWZUBvDL
qpJ8N36LWrPWeUeOYeUgQjaM0+RmLYDJepsU8SbJy2HZCO0BR8a+atBxhHgAG+XSc8TxdPOODJNV
FM1vcWrfzlYbHHOrKhGKETSS5SdFjlN9uNfmbL1opdjYur8wDYrluBUmvKpR3yajyb0cvCcThlib
pDqkidOR46y+1jSSDVVCWO2KEEYuipKDHtoxEajbJqMFOUS3VT4fpy648+tmCww7gCyGcQH1NZ/5
DvbbY1uFeNjN60TG5aq9p8eCtHhiiS2zOA9tcBepc7N0RL9V0nnTzjT0GnGZU21bBy5fDW2vqiY5
oZ8ufaffJmlBBiDwF5L/hmTRa8OlNMSpIQRFrNJG0dNVN1TRg5VFLYu/sA96Tv84Q05K+h6682q2
F5HTc3fOxyqyUcTUfKRpKrf1iJIsyF2yPi3AJm2fr2aF+p+2bLQIemr/vsveemx1psjjNTuMRUos
lLySsNyRw6sFTM8PkQmOoFoXRe/2ezR69LKV6UteNzsy7oC2TXniGXGtLUTEwNhK08e+CHQIfKJG
LEKtS3ahrSwAnqC7zILjoLXlOcdN+BRrNqc3a66VNdwYOEYDKLvUmUmbHFIT/3OPN21VDqSMIdA5
Dka9x1hyrTvJ2hzjla2jV638m4Ag4q7SGXoa4E5TUGK5Vj35A8o6G/ZLrTUE1iXjpiNWcWW07Vsf
gxtInGfTN079MLHJkJFMmiFR6fDmm7tSVaelY4evrKwPqlFv/SE8q9b47sfGAe8gYpkQBEJkFF6j
GE/lbB3sKDv5UWp4ws4wNScgf7J937FF11PnLEXtn2PVItmvuME3EWGzm3dlII7WGG2RrC6CpNwR
jb2wCjVZRsBdPREbF3fIblskCX0xTcssz+/ydMi9jFQ1TAQ7VVVOELk9SqGNPla7FvKMkoS7wK4O
GJMfsR0d0lzb1wY7reGsE6f85MdgNpLgMvpUCpNVrmY/XNUc5a2qfc9C96jkuddw0Y1jd+jc9JMw
VFRVbr4r1Oim1oFA6xHR3/G0MDJclqN62yQKh8EcefU0cpZBmTTTi/B7uhRyfN4hym5jbZt1+lPv
0F+JtXFtQVM0OGpQWlSkiqcVq3vyhKHIw6hIf7bWV27SoTUO0p1Sxg/QHDaGM1+rPdl1SavdTYO2
NuLysUB7vjQyXDdKH33266L3wNV0qzY0rtCGXvmBAQKxJSI7LonVtDEsRTvUSS5TIf/QJ/N7OVlX
bUnkPOt7exQ6F0tQDBaucxvpJXzHlT8J51xoBY4JHCepI5BXqJfUVI5py3RdCYx104Az9K2QNkmj
ZttwEs/WEE+3LivNkpH/cRydDk1d8TgCCC8V8azrsQ+Sp3pSe8oXVXTrpOlTL2/41I6vbV259FQO
8V6FG/4f9s5jO25kzbqv8q+eQwtABNygJ+kNk0kvkhMsUiLhvcfT/zuoK7Wkq1u9qsc1qyqJlck0
EZ85Z59dUKNdtcrkVPrK/q3NZ/Dhx9IIqpVpI++t6uydhpEMjqmiseTf4ButjB56aDSWW4Iy9oND
iubUdhdzrW5tSz6OCusa62DD2cSki2qSl0YSXdLsL2Usw70Tzs0FkZFq9S6A8qXBYaj9a69Jn/So
lDv1dbfRuiy8nNscNLZ4ckPGIKW8NoYxuvBEjky73AelfmfiwZ0LS19EQ7cN9GKlZ8lFFejbzpGE
7VnZe+cW8HKFCebavUva4hDhbE56EHApYXuN2T5ORnXjjcQv5qVzGRsBwZXxJnXkhM47fqhS70mO
4sblHD5aIs5x8toIClr5NGfeHtmetkTvkW/znv+xVhmbwogYROWy38Upw4AmL7kdA5np4nY0YpM2
oq41nC7pJM14mQhbW5sGksG/z3HybGIowB0ZwCURmPw65TQjXR9NM4+IWENNkp+aeVx48vantvJf
w9WfhQi/DdxRIagHscnOM2A10kr++iCJP9ZCa5oIXvZey086MTMqEGC4++uH+W0B8u1hWDQzl8I1
iTrv14fxUaPSBegU7ub7UNxr4m8jFlWiBUoKBBW8XL+/Vg0B9kVhZ+k5H/ig7VyfAfiP7vsPL9Mf
nj86AZNXiBfKgjPy6/PH6ujPwqqys0vfYV1Z/xJr/MeZ9m+7r397fX57r6WdGKHGUXrGQE1MV8JI
juwLxnlvabz661/lDw+FoMFGa0duBITx396K1A30eZiL5Az0FYkRmnfoz4Fccg2z2fzrx1JP+6eV
nvq1fnlbmDb8vDrUjSjrHTtNz6VYAiqw6LvaFWfq1G/++oH+9Ev9/P7/9kvlTuwVnfvtgUDUsyAe
ww33iLqKy//ls6ae9O+/lId4iV0eTBnzg1/50z5UWGyMuXjzcyM2fvrSj2vL//LXv86fPm4/PcTv
H7e5saiVLD0/5+5L7D9J7f/wcVbqR0LgUWJaH7Obn36FuEqtVmpmfo45AQVgkOn/cHihOdMJrxF8
bewPGNVPj5BrOfU9QR7n2XkZnMsO+oTe/i9n15/edD7EDlp6hQVSM66fP12ATMocdHN2rin8piWz
Z8O67jG9lisUkH/9jvzhsTBkY4tCL4Q97fdzMvRdhmyxlZ9D1VOvIxJSprVTLQpqrJuPh/pn5Cn5
Vv44dNX+8197TTW5/e//ui3Sl/wPii31Uz8Gnrj2GSsahJ3qpBepd/zHXhLXvrLfs64UKMF/Hni6
n9RftZT4GFfGh/D4+2LS/YTY2NHVfNJUA9G/ldsEOOCXo0FJNxwlQkfBbDJAZfj66ydSullcy86c
zi6hdFdOPGU3kVHiS0+lecC6lDxNBiQVFwXOaZhKHwJkH0Kh6OcHxxva21Av0u08M6uxce9jjGsJ
L46qEN+zfpmmoXfqheFfWBYhygIe06KH9SJXSMMUML4cd5rrHUZzhnHUkpJBIZd8iWDfbON88FX4
OQu6shmfszAMDmSMMjLTWmLTcl0RddySgdT04JlMN1LxMvmZc+hsw920LFSPeVJ4BLQNoLRbz2c5
r58JnQUjGyW4j20WrGFk7TgK8M5/OHH1D1euiz+3nIxBorTKVtU8B+8OLt5Q2Xlnn3w2/L1xQWDO
qCy/5uwhwmVAfRUYwaOOLzjqRL2RZX5tKctwpLfatlU24lkZisMQa3Eq0qOhzMYErGI7DkO5TdJc
rntlSraN3l1EVoBROcNY5xf99VzHGBlSTFvkwswLzbJofdxiYQbeZSwQT/QTr46mDNFYssUqUybp
huCp1aSM0xUO6s6Mn6sSS3WGR0PFwMZrEhcOIaSldun3vGHaYNQ42hJ949vGLpZk/Wl1sBytfpu1
ic8oqytfOOTj09jKNy0p9FWlsxSEh+WuhjxlAhvc2sK5zhzMoMk4bs0+fTDjofUY87RYLcz03FfG
VWHSiwaNgzU82peavsXWYeH2IJ6CEL2FbWMJT3sZnNAel0snz46NMN4sq+g2jT3c9iEu+YYQwGWi
s3rOMv3sBN4uz4ptL6yLePRO5aBvQ4N81zkNEEL79tXkY08MonM2Ry2Lo2zjMdxezNZ0sqZyBens
Htwazfkoj0Q38Sed/5yZ9asYjArbtvuFeMJtYU33rOW4qf2SGW7ZMLfNoUddVolVEFcq7O6LdAmU
whbFaBNz4YUHS4lvRRYlF4ZdsQbtprQ4lB5rAceox4uAJvSbUPefw9ikVvvPh/HlW//ylaLim/Bk
//W//+ubP0T91I/DWP+Ey41LHrmHsLF5/3QYG58wZGPkllIQY6dYeN/lsx5x3DaRKtylKnhPaTu+
H8aE8hG4zWwbJh/Fw9/aP3Hm//tZTKeB1krFpNo8i1/PYr+LSmH50XSO8isxOcqwyyCUs+t+nE2E
RZNZLTwzv3Dn9Mad5OtUptrS0WYDsT15lOCd2BS33qFJvDPCroLRl/1KQucp7bwHIpzuSfN977pg
U2k2bk7PecLzVGLFtc2lMcxb3cwuiMkblr3fY1ubGTzoVbhMqczZzyQPdmDPhEzYeEL9is0MOsfC
tB5JMHsIpvmVqFB2Lom3G6ruPonaq9qTAOR9A62EewvT974oxuDS79tDMfQlx0tzNFwmWCOugmws
+J3nVeyid3SJUXaBltsABalgNnmofe5KpjWcE5bpXdIRbGYZUjU7jr/2c9LCZ9zmwCA2lZu6RIag
BpDG18KLzk1i2ISUVNPtTPxe1Pt4EMpmOVcjmoVYREtAgXgCcsJKPM16yuYEltjgO4DO9PRAxpW3
qgajWWmjv+UQiFfuoNZOnoVdTSoS2rwQRndrT2XBuMh6gE6GPSOIasnMpIOAQYhNgaFitFla3RvD
QNeNIqTCS4h7l1zZGPkBi7EgttnLB6lc+YVS2eKHZ/S6Tpppq6fjbh56e901GAPjAFq6LrHUfdBI
LONeOqiUM0e+lZBJUp14mb6dn2fCBRd2wweHvKP7Ns+fo/SNlLkDfI4COUazn7ruONYOfsA432ED
0tagK1TuWH/ydABVCXsO7qvPk7QPWcniKbOml8qwqnuZNTdBJm8MtBtDOew7c9yOcYwbz/LFQov8
HakyxTKoxHEijHbhaaWznzQ893PmPmh97S7sStsMnrnVI647yHHMiob97HGZURbYCxnkaIM0zNZV
uY2ikJBVZ77KTX8jOkJ9tMgk57R7mBnSppb5XgheMz9mCOWyFfWTeyL1noKsvhox+XH9u7sknx+b
mkQ9vQh37Fa4flgu5GN7yDqHT3M8P6LuxfNUvbRTtAabefRiAmCi8smOiFT3BVsTbhwWR3V618n6
PqTnWZQdwXK6QzoEYL5yNtBlO08VGodF3dmnGs7azO2uCwBwkzZu9WlaZl33bLnBDSarjWPkZyGt
81jqpCzYs3kBPAw1k51fzEl/aYpgk+RfE/w3HcOedTP42yIaFGZRGivuo6sIO4qr+/yXAe1N6zQQ
wJtx6dvmS+bDI7P0pF3qcCCIZDIpvqY7e24huhSpsxC1c4f47Eip9jS74Sn1xmthaltDT+DMVfhS
M32XeS4fI6faM2LnA+jfpeRArv3YfAM4XfKFMu74GD86LTG3hl9ctpF93XjiqzdP9TrWhqvCZxuQ
NYZc+oHpQGMjBy21QzajWLZwfY3p1ZR4NwmSIjWlrPZ+H+rrjAJsk9ve6+i3L0laXfkGuVG+Y/mr
ZtD9ZTZV1HaxdSzdRl7Nwt1ilQrza0qZ+LbMjS/+BBYuSOZ7jKsXYg5eDQbIXdpNO3LNtXWbmJdh
S9Yh5vpmgwk0B3zZvhWlM6875DYIm0okN23lLcrW4xXwnJazKK2XvqwvZsM5tqZBqWfsCRe5qVlC
LPRB7O1ZXkItPhYZv2WUVKuyDXUWA5pcTQF44jDrWM7JbwOSf658dUX+5ytfGWcOxUvV/cniqX70
p3v/A8JuIy77zeGuqGokgxCpiyrlm270+72PxZNqwSQ3lyndt9bt+72PYx6T1bf/mQpb+zu6k2+d
+P+MZ5Q4VFdTOlQvUqgK5LdRHVy1bBzlVJ8nDYdyuTA7A8NCDqdkb3dhfo4kIvnQCS9tq976s21d
V3xjFnOg3whf3iR191Zgal+MY8hauT+GjrHBBHlBQOxS61lE5caFmxur2aSm6OVI4SAuIOHDc+my
S1O6Gz9wLppQ2xSTdm3H4b0z5Z+tsV2CnXkDIswu1GXiku8Tss5CTUN7FYq95YYP7E6XmtSvgUpe
dsgf2C9fjk7fYsIeL5CNbK0afFUU3Fts6jR+o3VaD69e1J58D/1/LZ5FkG77tj3kvr1phXfsZXXp
h+GlV8BdQcUahOUlzctCFMhARvMzTt5dyPrWm6YFTcg5NuJL/Dpr8ttXVTOvQr1/8qLmKgy7UzBM
y75wt5I9CgtsaBslIs73ho38OmO5wkq8O8ye+0Ja9gJv2+c47vda463IMb8Jg3mrxTHxWgSKlzXx
7ChG/TE6I7ncJQ7KiNi+t5psN0/NTea2r7k5Xmpufhn61UVvZztr7g5ZPe26qlk4QamayEvsLfSQ
3l4E8sYJEdu6WrlrHQD0Mh3I/mK9aEzVESfNiyjkjVfayxCkASGmzrnT2ovAJMMt6Pf1zHLL0W5i
b9wbuv8gs+k+8MTaRuu5qNjp+Wp7HPqs/Z2sOkVuOqAbqBA4AO1dFZH94sCO3JbVSDC6xbJqLD+b
ZhkinB1fkX96KkY80Kv1tzx7v3HreBd7ebhvi7qOz3KeR2RIrFvFtq/zaOOhbVz1I6tUhsLbourS
hQYAJyna8pDbKIabimUhOafixOKoX/WTAS5t5N73cnasvpjjG9Mwt6Sh4uFpg12cU3RBbHIZJ4Bz
yBEDL40csF9cOjAXgCEtO4e4KjQ5UG7s6TaSU7XiqIYQIOxkM3dtucRgA8ghaO4BmOnrxMbKE6fY
O12avpncewtYi6eZdxqAn8IVK6rq82xaG1knl1WTDKsESA8MiLdolic3bj9rAz93qjtyafm73ZLM
XCKI7QCIW3FtFtnD0JFHWPZNyxINIQCXP8v1Ur4GqJwWeq3oP00Ft0h6l8Svs+kd469E17LBll22
7PuwWiWm+xaU3nM+mfd4Pt94/iiDC72BUSTSlSjRb4WZKFeg50iITlii96UBIKFG7xCd+zA7uNnw
IMcJ0o9+iD33IIuQnFENRUIQPkQzO8ksrS4nf6g2WQ92wuw0+1SkPpuIkHxKL2nWZtiLVScRkw9G
/giklle5yr5qBXMHFCRqIx7kmzgZ976WbmPg3ktv7p/mAokW28RzpDuveHZfR8l8sx4zPreOzbCl
t/jJdBcQD7gwK4QhZYoeTJhbvzAfW/b+gLodmD/WPgq6BntV9DgFlOmeJhkMEaZoewTudO2r1tWr
xoTcMfpMInL/s4Dbu5xg4s1mR+wdm2fRkV0rW9ruuS7vwkFkKz2epjXCLNXE+48i1TvocL7D50ts
KrX/9byBr2iUTGTr8LWEzcMuUoj3TKfG7f1A1fOYtZIIi3NW7ZF42Dy3/kAdch4ziIDMScCdi/0Q
6lQY/UOu64d2cJEsacBAIm2KkTuPF0mo3wLIO1p5eGdMDvrUGMlRHYNGkoNY2aN2AXfQgOWa3Neh
pJrISmeVOmXa3YZhkm/qoQnCpVag4+/pJJZa3Id72UabkOHJItcJp0WRRqhpXkaEPGYgjTuT3nC6
LrMmXzjGmF4TLPQvu94/tQgch7+oRW6i/g11wde3f59AqB/8XokY8pOa/HOn6vKjcPgxDYbCw4yY
ksLxqDo8/acBhPykQ+XB2UKyLoBVFbH3vRARgF8BXTLoR1WFOvZvMVw/TF0/FyKMk20ThBUDCBvq
gP3bajU0c1b4nTBPdVExLLzQUm2CIuVJvclI2JZxgjvVFAm6Kd9A8jV088aYJsNhHY802yVe59wp
U+SQQb+yrBxeVKJNq8Fs8iNld3Y7CSjS3SjLizxqiy9t0A4HMxuSW2kMKPKhYObLdnTeyN6Uu0LC
UTXi2gIEWrXFc4hB1EMeAXy8HmCNeinXhcGJnObWKx4E410T0XxjNjYuPC+ES59PRNfqLrVSaVer
0YzNhaWid6mmkqss6/w7M/bCm67U0vBWj60kIGfFMap5P5dc44sa+JGA1uVwR/GAnY7QCWWThJK1
mgaX+E4qy/66pj6iKStqk+4dWK1+CRMtXmdWVMX3Gken6ucTx1mOJkNARCECELvVT9Vz0nViL/us
Xc9sclYOjum6nA5uWwL3UMAhva8969grFpH/gSXKFKEIqzewIq1S4KIpyoWAXdDEe+JzQWoVs7yZ
jaYnv1XxjwpASETTh4fS5pY9WShr96QsRv3NHLvGZgIOOwsyvKUznDKPKk/bfnwR/jkR1JLzP3cn
V2mXvTR/OA74qe/HAXJ43cMWJh0WRPijfh1ISvTwnAZY0EzGjj8GklL/JPkjg3fEEv9qZ76fB8wq
2V8zQiTwnQSRv9uZqM7j5wMB5QMfOw4q8JdklfzemUiu+Fz4E97vFKzeDkYJLm8AuqfYT5dybq7d
cP4M1ombvE23UHk/a/AWF1kIh7cItmTLM2dk8FeDnVqLor62+wKmhn7scADZ2bgXwHznbmfF2lMR
BAcfyLAbnI3YC04FURVL25o8JuXoSBJm/wt7mr8ye0P+oyyj0nefHOnjyRJaC1i2pfoAsszQZCWs
/oqpDdFxQEL4c/049yPSaGScEq3HonPSh1yjHMxq/S0qm/dhNr9Si0fwbJJwWZvjbeaOw5Iq+mmY
tM/1DLdjnCvmk7a77GfvMren6ajJ5AY8WQ/zBlfK6APPAtbDPzTvAKQkfxG2TW+sDBOMC8x5ZZfH
HpyFdYWISHzRk0dmOGFjz4tGJyMZ55/NgbTynbZeMYmd5NJKdISKREkIJD5iGhBhitZ7MSLSMtbR
WKPRyvsQxE2e7EC5VAwUNSiAcizXUMuYGuueEh2RLcLsKUGE3dOR2dSeiykY2mvU5hB75rS+7gsR
b7uyrxalk/JSYZpZNDX0r7AigyHLExOJpv1YzDUldZcMa1nTGRYF8OS2C63F6OGc8z3fQmA6TNd8
NuUCxbi+iqmhw8IuDh7qrYWfyOjkcwqvBq9rWED1znasYZ0hveqaVWUyR9JC4W8Bhb6bHt1bFVYU
2okf7Ehjfu1b3j7T9ap13zP0hqNAWgwmhR271jdPKwgNr4aBtG4+qgyg91R4ZEBYcXrliiBZG01O
0obGhM/DuLiVqQjWSd9YWzes3rLR8LaW4rBVtZZeOXMRHHjliJ3yh/zFVenD5hTpO1+XvDa6ptBg
wOeE0SY1lwQ5glmt5a/llAeLAg8bbApVurtafRycYiDfGPCAF2LgKAmM25atna558yTMR+s9Qvuw
kFP4bmhSbAGYIWzS5wwLg0dfVruufNXZI9HUZSEXLIUy802wiaXs1z6JCxrPMreh8XTpK9+54FDH
JpkRc5K36zB28WqMwqWn7q06fk+hRJHibJjXhQGDAJ57c2z9WUcOz5y91se7VDPAYOspwE9Bq16k
1QMux2CpzzDaC28o1k0IFqpvnrSg+pwWKjPc9UDEZYwH+4xgylh3iFCf4gfA71dx1UTPUJkdzFdB
iDDZdYGFI9+bu+soR91t2SlQiZxBo9fZb9Swz1D3NkPg4sv0tPchbnHS5dET/q0Dro/H0R6crWg0
ewlyVB0i3omXYt/R3xd8TwGtxoiZ3Tvdta4qg9uP5IRFXheXji6/mLb3uU81bvZ6vGrn2t27db0j
hvC2mb37ivJmrbeA6+HAr/t4ihYRa5mtMJndQzti7J/lR9oy6KvhTQDJif4es2RHrP3R0ucXRuEg
53N42wUwc8c/u4Ko6lFUq0l4Lt8U2oScDxsrm5TOH8X+a+wyoLeTNt4FokdVKzuBatKTB9vG7CEJ
QF9IK3v1GoszS+9y9IrVVTFot6wVhm2cJNEhQJLNYDdgxkFtwlNiej5prb0pR84kvxiC64w5FMN2
ZOqd+vLMuu8z6ORB29IK1zHhTFu9KaObNKjLlWsia+eE6WAD21Qb1uhtS2lM6zkOXb7ayK1135m2
YzfFa7+JBHJfiBPeHNtIt613CIbzKpHzHv36mcH5MRPxhdWN2VoMurkVg0jXQi+JLJMNXYtj6dvU
h8sv9aLYmfZo0TjT9oT0hz7ugq0plP025tnS/UINHIYCxjf0DNiOys7HKaXjuN0OhPFeW3XPnEgB
MbrYsBnksAyJM7hUFRhYKMWpZKg9dN80N/+UOoKl538udW5fvtQoYvL2D2IY9ZM/yh0Dnh7VhDLq
M1BVPc4PMYzxybVB3H3/E37qf+awjrC5lVVHQrej+DDfyx3EMJRBeDgROHrUO3+r/THRzvxW7qCF
QQpDAaVj0qex+nUBK+I+b3BeDecxdZkgsI/doAqO12Ws9mtjy94pafheWrJ/GuLsiDDF29q66yxk
FUVLfwrITcpd4yYI7DWo/WyRTQRT2HqkHfV2frF8c75kdvE22BUQaeTrqDr8W8YU9glYfbiYelHx
de2rS8Sv65hhTRsO6wFYBgEx7iFrzYOsjfdknB4GxjyOTM4VYx/HMHdeRNCSF3M3RGo2FKcGKgY1
L2JXiHFf5fpA93+LHXk/2Npz0mtvg5o2qWC35TiwmsP5/rXKGC4lunbZ0upwOjKvGpIhX/QeQbxq
lkUuuLFM1YS3V5OubioeQjX6YgRmF5j6nI+pmJqPBTXQgVMQ7e1S3MBwxkLkv83KE5VfMeUeVoIh
W+7Zm3mMP2eVWPgM4cLcuuvVVE6P36dA7ZcY17k1s1634wbrGeUVGuT8SU33ujRMN2ObjovK42yt
GQJmQWutWjUXbNSEUKQh/jY1NZwL0pzQxcCQ82NvzbHYrCRjxiRkf5fBB+86Lb7BiWbSJrIfjSeJ
Hzsias4qNHGq1fSSK7xfJq5RHmatvimaEZm3mnaSSLG3UI6uasH4RXaxtet8b0oe8kBzgpPZzNnn
uLGAwqYwUXn5+nk5CsrZfoyoVCz3vUEZP4b9OWyBHIoMIzls6rbxnmtFQs7SwtFWnpF6u0ga/gYY
tXF2dEIHuK2Y3aoIklKFkWQqlsTF5lO30ciszXtOVHSJpUJMBhVnopUEm5gknHj5sBeg48va7xDV
Ey2Bh/pe6zh+O/ZY69Gf822vQlMyqRDnDcrLhkSVSkWrCDJWRsyZd3wCHFyvTrFEnzle5SqUxe2I
Z2ES99qgtTw6idmzXg7fSoNqYZYTgihi0zRXJb0AqeSlt4ylA5FpV6tAGBNj2G1lVyiFCie/S1Rw
DMETIWuL8q4gU6ZtbQ11Dn1ygHZrtHOwg77GtayEXW0xYVxC6qWJelxmSv5lRdi+kHW6pF/59qGd
9BfUO8sqHB4Y4AJZVEIy7sx4FUiPqneU2l7TvOE5iYcBO1zlryK3zbdjWSRfEmE1uxQXE8Am95AM
4bjrlZCtbtlUrGrwZAtQovX1oCRvIfL/k9tPlw2tHwtbtL2oCfhmZj3hMroLytzMCXJz52LRGAn+
Pmuc1/+03kzHsIczmvqr+yj/f4s3NUH6Q/vNT/64j3TaZZsm2jE/hm702D/dR7aUOhJLGnRwMlwV
3+8j3OgqglP/0WL/uI7sT9jUUR9zBvIkDQI//4YfXThK7/NL900qE8nRrmVKVEc09r9eR003WVaf
uNqlY2XxMgW7H/l8JlMb44hy1ybOtNOU35a18jW3kLfslRd3wJQ7TLhzkZbsZ+XXBZEcL5EcoRhU
bt5K+XojDL6M6R7IYXsu9eo0MYhiQu+SwoAnWGIO9kvBTqneZso1HLTpDfOzCnuV+AJGeYlKvln6
Qr/2dDzHg4vjrI7rz/rovI+SzIR4KG8zM753jAx1ToLAs9PYrWde9Si7sluhMiXdTRs2cVDiuCw0
kuCSbmFo9XZINE5WX+Cl7cgCnB1WS5ZfcJ/hhNNW/iify7TXpms6S7ffpKMxZLj6mpYTqYr1EvGP
ITFtlSbt6eBtSqOOCducsjUgVXYLJMr3FrDZRIuvupgMZw/1YlaAsOn0+GvrMH4Ehok/3bUWor1M
+3uzKZwFYiyPxFOiOpEa3DqjkSyMzHyO8TZS0mP0wjXGnqvokRA2zaHS81cM63ENUjcs9LU19VzJ
dibN6yoJoJJR8a5APd/pITIfh1kEvAxdXdePuSweaPAKuN9jccHtPy01x1vnDrquoNznaXHZGM02
Q2SYes5htPxH5khsjhMx7QsyPLtc6nujQzYS8ntjFRzxhtvYkvSUWR/P57MbtNGhj/C4lbx8C9fw
NeWXz87Ixu9S5clk3RCxxnWO8sOw2SrvZvJh46w/LJ3G4J5mc7rWG1C/ut0wG1EO0LrUbwMsob7y
hs61OFeYRTXsrJQA11bs7OElbJMeoKtyl/bYTFs3O48eUIXRnKg9WLhlvPMMeMPY6oAQxJ8tHKtO
QZ4eV1umrKwentYRbysxWhc1Xtcaz2vUGjtDmWCZdZZLWxljZxyyY0/yoa5MsyPuWVvZaHnL2cF0
8VtMK9fXPDeNBJS1UPZbghsZh9BZ4ss1awYayqjbEqsx49zNlIV3UmZeocnbqBtec61ZZ81d3RnG
EsXMdYALuKRtysv5AIPhQffiYRXjF27wDUdTTOvMCCpqkudMWYs1h+5MmY0FruNQ2Y8NZUQmGOvF
841irWdMt+0ZHR61ge6yoh2ORaOtCjzNAK1eRanDbFBu5yA8D7ifq3q4AEj3kCpbtG5Om0oZpSM8
0T7O6TjLQeXSbIfKU63M1WLwLzxltxb4rtOUv4YPe2gxZA91tndxaPdtfuRvzvgoMW87ysadfDi6
8ZxNS/vD5x1icIJBYwdPMS7w3IqJwFa+cK3ZYXp/avCLD16/BqSwjYX73OInzzqpLQtud8RzyxbH
eR2Uj5OyoJuqBB2kfeHiTneNisxDZViva/EY4WAfmnqZKkt74cprgccdkfy1qUzv09yfrB4b/Igf
3s9p6r263IU45SM3+RybyQUpHfdOXuqLFMx0i7feLNNTSGea6N3nJJO3tTLhZ7jxZaYklPUpwqU/
Krt+MLHwiHHwpybreRz9fEgOhbL4h3j9G1/f9Mr833X9Y2ZWBLJiJOzhAxRwAgDzHjU6XUCO2l5C
EtAhCrQE3mYQBgYWot6cXIxeC71mvm57TI1qZy9gE4wlH1mXAiyDWoAq/jmBICQra99CNWgk+m0o
B4YIH3qoBxb0A1ZPKaMUf9Nb2B7hIyRwEgwFTJghJ/hmfTFBUiC+jm8YbIWwSI4RrIUR5oJHMB3j
LcSdyNaXMVwG2UebHE4DsJBjBLfhn9rkozZRut2/qE0K+qiXf69L1E/9qEvMT9QkNMPc/f+OpLdw
KNEri+8bxO91iftJVQpEQzoGO0ZG97/0yQ4GD0XnZTSKK+jvFCZInX4pTFyFx/UcTyKYBtjjOuZv
e0LYB2mZgEQ5E7XFHWQpzTvNe/eljrt1L5NxoWd+sgMcmy9jw3vwW7y1fk23aVnOa5ult4SzegtK
rFXXYufzy+i10/R901cXXMrBsmZGSRxPv/Ltvt0kwngenDHYImZtjllV7aue5f4cnUWr7fF6n9hq
L4y6UXnNlCj9REntNO4uj2KEwdrKYXbeDnaxLLT5ChWIv0yj4cYULUohhzCtJEfApBlI+rU7LYzQ
+PVQL2npN4FvH9P4MY2m5yFAKxBb8U1TYwavq2ZJ5MUx06t0Da5kOxWFedJLCdd+lgvdkMfZKi/7
vDu6jf+19IZjBHvSnOzkWo4IFYLcPw0SakBgkvdYW+vGNY2XeipUx+2uAM49RKb+NXDQeODpqJaY
Eu9HR/va4bRTmPWdoqhPaRCuQV1BfklO0Vy+EOPVbHofhholYLYMzcra5gDl/BFdRu1m93h4zk03
PGc2MtDEMS9Gt9q2MkGIQ4rmomcl6DbBtvKtc2Jiq7aGedcNhs7x6oGK8zYqNYvJwVZvXaodN77O
M51NRz5euM18MdB3ryHHPUahJZa9WcU058lD1XCwJkn7aM1wU9QStG2y98KtT+CigoswCSBmQsPL
MbgPDcnGRmvuGh+8WVMFd2Zag3kLFdcEeftgw/giueVrHji3gT9tWUaM66zIDsDyicwV2hsL5uNs
5xsbyQ7/bZcXVAOyd8mINCOCHeP2Km/i9MIbszvCIw3oah64A5u504rdA0HhXfOeGdUuduqtjTtm
2XZ1gM86ORldtS6LDh1xguaz15pbo6+3rI6f5GRsvQDzSOlaxyamHG8L8qjyPIPOHHIVEyUpWxIQ
MBGtJyX+kgy1lslcn0oPjFGckXxlTmJrBsUxAQGXepzbCf2kTIZDHLbxMqyny9rjtZf+sYUqgsYK
UMaXLijqz2HeCmAxXoa2mjn6jal2DMHCrTPtWi+96oZ5bJZuYfxtWqFvEi1kDWb670kADsIiJC4s
cO3rlXNw8vGhsevXNulYBhXFNf6arRYm10aZ7l0YHEtGC6tydOi6nZ4RjV5vXKu9NEQq+eXKdeU4
2kKMMdClUa4hTQ70vw7oSgBSyzLKVi3iPmFPEJLMFZluz66PG8yb7nmjw4Uba/sp0i7yKtyGibaH
mEgqJiz/GGKN5u/ibIIAwYpldDERyPkgQEQYVQ22byIQIhs3fQZuQETxhROhxUfqu/BG5/+zd169
jWNp3v8qjb1ngTlc7AKr7CBnl+2+IVS2ijlnfvr3dxy6Xba6d/qVsdACo7mYmbJNkYcnPOEflp2D
yEie8EK+10KRq2+EWAcuD80RGteUvVJrNiTVzA+ce+wyIrpf/mmb4xQzFoGz6BMTHFGUrhyYbbTg
HnEaZxHQgO8tSu4QuUBmran+HNHfR3BZpZlCjZp3a0xcCSXvqnxEaOc87O1ZFeo3coD1lzMAJsaQ
gtpcOtdxUwetQPeJPtSCksC10bjbAnnGidMmR7Xj2YD+2hU+tv1UKoyVjiKgK48gPoH4hAHaKLT1
p77erDsrPelRwJgkuH3rnv2AIsWkNu0VmcGkHOQl3ASw4+2drOZHrt4vAC1Y8yiM2f/6FPteM7vS
GqfGMa9EpsijWRiuBFgqD9oz1xxvcLadFGp96arNMZQH4PwGXVBnmI2jujDNcq4hKEVzsJ1VtIbY
hbWFY9QncjoubIQKps4g0bqSf8RupU5qtfkdO3Vs0MHhIqHoXSgCKOd5l8ponzr20E5HBF/wX+2O
ZTOijkKUF+UeEAspEGBKo6Gt1l9osbSI4uFCdeyfNGsWaZIDDaznVWlLiyAo0mkn1edDnV/Uln3b
B40/TQzQj31iODhCqfF9RLd75uXtzxCbDjRBvsdNehTW2anvENU3ZXDVYEqkBuVPwxvmjXD88Pt+
UWABEimqECaMvrMDz6vUuCwlN0N4CdsQs7zri/4EgXbM3JrEmmqok9ZYjaiA1PxeWAR7J3pds41j
SuIWDnQ/KDZEinR3ou90qrpopkgpeoUjLiY2chWxHBypBky4XLic9Nid6EB+Z0Ob9bMKaU0Hi3il
xBuFcMGbedil9MI3xdWKnxYhJlSaaE31ju1y6HFZyYK7LFSxMVevdOHD0mY6fPTq0bDVWS07xyic
nFdmfzQKB5fSIhZOMXXpMXfB3vwmDlTEaoXtC/asE3vozlvhCKOP9vWYwkeMhVtMKXxjDOEgo4uc
yny2lUkUYTHzLp4iYB68LH0vEKHSRvi1boI3Argb1YSapVHC+cDhrwr8eQZHc86V62Rybyzai2I6
TpKps7m5qtboccyzab0KTo1lN/NX2cI/NsCbrv/tZP5KqTOIB/86wL3BcYnU73OEK/7sXYRLLEoU
JOxEPgBftG8Et8Zz/QxG3VvZTVe+YW7iWAS3NIJEt+fP8NZBORJKNEZ0Dlh6gtJ/Et5a8q/hLXh8
XAawRJdVVCfpOhmiTfROCQDlst4siiq5SJVc19eV2gCxHZpATqgHDZ3qgLRvYS0Bxnws2uT3MRv9
JbvtNSYyGEhaPway0HneeKsSkZsiD1IwALBLG906k2sFY9EQeDTkZxr/mUOHAQPkhZpzvFACOEP0
FXuf1q+noZudV0P9JAlGrOF0T3ouZXMfqmmDUA0JcHDS67gJQPNfS3lxUcqZMct8bQR3arYz+vkx
/ZgSzC6hXtmUQkZtMSYRjDLV/iH1ysLvagUIsreyrBr13qggRhPYnaJ76GzpNkY5dhpGyrVm1Pce
2ccSXyZ7iS6Lee4FQzZH4qAGDxuVc2XwNhaAiWVlEBbZBC20bM8zHQljf1SvKcAUE+zyLntVPk5k
Y6vXyVIru02lBye6OkTTEtml3lZPSqfmt51VIpf3DQThrBdSfJF3n1XmvRPCyEVyR9ceK8d5LNXq
vByDOyPrHyPdxvBak8eZbZgXNN+AfxjdKvEDgBE1Av2jBPNxiIJrOtVnIP7ORq1whZAO3SSVZriB
zttRqFTFxFAIyztZv5CMLj7BAhW9TAk/KK9XTkLf9JYgbMxF4VE7KBoZRej+1qykY7UjrIUmdGxn
uICjD32eDzquB1GBclqeqsuh7pY2WpyzUpw8OaSjZWT5JeJrWBOarYssR6PiuxvzUwu37tLrvru2
tYiD5sKUm3M5QzKU5kSxLPUULKFqQ3CCgQ5XHJZo5030bkQ1TS6P6KqUgJjwNGKhudOOmiTU1jOf
V8Fvlj9C+lcgsS/IaY68kGjCVMOlHmIrUSMMrPQp7E/ztgbFICfe9yqrt6gbSISqKszBBunftnD8
BS25+zSkcgU48ti18jupAcETV92t5NCe409jGNhSMdfa6HqQVAqRKsRTRcl+JhWaMUGWr9mozyOd
ik899OrEzrrThordvLf77NzqEo+1UtpU0AIKmIJaWjcNVc6y39QuPRvACi59RAqwWhTeNdHMioNb
rQb0aZPZzVlrMx396KldW/UyrYDgA7HKV72iugitIKiXd2sdcbxZEgJfGCXpEo8Rfz6kxTiz1OQs
SHFRhrdn4naI0yyy6iRS2SbqC1nMtWsdOcPhZyQXyUTyaAla1VwbejQ2fWtuU8SF7fMTdhGntKX/
LEf5wamcU7mLz/JhuFZx+JkgGejPzQHWwpAUV35TbWIdlFQwHNnZeKwjXDYtlR6vZYScYOrqQE6G
n2pV/u5JzUmX1ZdxLq0ReEWWOa1nY9SvNaftp4oMLokatwpOg9ZS4/jttKzrn7mUJNAuOnUW99Ym
KMrfqRngDJZJ0UTNejhEnU2XDEQH2CXJRuNMv2fXLUDelWjPxeZjTUN+AjcqmLEhn6AW1i+9qmkW
/tge19TsEfb2rky/3xCPkgrpEaWuoopx5MWOq9KLlZmYMxgq6I/7/XVtgO1CR2Ee92iv0mSlfJga
JYsuY0nY5jouyeGz3j3LYjTx9MbtYTx718DozrPcuXZcRKn7AaBg6iCyNsRXbp6feZ5SLLzaju8B
ydOX79pTia4/DWOxsI3wDp8rZADaLlqwrcIxUv0ffZqRD+nBgq7nMRv61aBn7aqAmgXLoLkEZaVO
Aoy1WuDYS5/gfdpWmk6tLbuB93zsu6Y+jYoYGlV7GRg6GgshYDdE+Ggbl8ocaXn+tm2vDTO0V2Pa
/KjQU504NGAnaqr6NEkLaeqN0k9HVzgv/DJY2o50SU/1h6mxtovYsqmM29I07mEBo+6UnskAhCZg
te8VO3GntQ2jKxl6c6LhNYMAIhZ0GXu2kafyIkSHYhHX2Y/GIdTLmUidi3g3oh8TCvnCfRfj5k7T
4JD2srdwMEaYmmhZHlEVx19ap21P+59FYyBCobe3/hBddpyJ0zqEEBIYVTgxLMOjNDsw3WwrmjUh
/0YjAV9vaYRJo4drzGwy3MQtRPFluqtSBIEKRx1QBk9GZlzQCdr2Cper9PDeNJGM6EoYGWaTnqLb
XNAGA75sy/3EstKVrChHdZyXU31Qm3lky9k99n/xUSV47ioLH2jQnQSfpw7qp66I0ZMPbzns5ZPA
hP7A+X9UBd45GeIN5dcVkmIdMuttD9UqQ6JV71auoSG7Cekra0lgKdG0M9WyHgM8A2f4DnjTIsvH
xZDZV4qbFHMDEUkaxn06z/MESk7cuEdyOWxMiclQ+626oGBz06egBG1XOg48b1OG1swjEZ/0YQ5n
ipg7tfKLLEL3N3Nkby4pxiOCvPqCRvuDLgeQnwrzQm7M75luLt1c8MI97WcodxZ7LEG5qpYor/Qp
IrFWLBI+zONlNK3naajUwBkGSMaj8mBW7ZmjUyMac15sKbFr+wOo2dCCzmdK4UZO1TUMF8oegRtO
izY/CVqor1BplgPCqtNGE2bPcrQKvbqfBjYsIbkmByhUKMdZWMZz07GffA+rAZT/ykWraPI0S9p2
lskQa6JR7KrmHWm6MkG+0JgmhXTjl91t6ZDsp4Ezzbr4tKkUA9sDu556OFrPVN2/rk3IX25cHzWQ
g6aJ7NzqaYNPAJ05raqF9aIEVtRkPWkUDntPimdqlB5JRE4syFAmw0TX2EsuekhGHqPFERKuClPu
UAQIth1Eeik3f5oyhUBkGmdWgmp05ES41eKupcbqYzuUJw4nOfqQxiMge+RhISKlnnLspsgEwoHS
p70Z3XlJAnGoL9Wp3ZjTUEqoJf5AovCUwAAAIcCRidKEx7kgSOZNiAlsQIG+KPmZHT14kkEJoQtv
FNwqJnkjXVm4edIbyY50p7vribmAvY2wzfMsnRe15k0Hg9JTEhU8DmgklAlK3J8yHXZ3dmHbgyj2
Fbhvdt1PdIAoX1FRnXuRtgDoc5+3LF2/VC5jD3lv5sJaM4NadHLKSRPl12bAOzIsBbtPv2efLtN1
r5dwkEyI5Xb9SEmGcmhQ3xU9fJGkkW/HODjuh/hG1VFd6Cq2VEuGo0Gr0CZRnKBc3c2yuDnNq3KR
yr2NugWcOSeXQXGY4dYhNvZbE3pbn27HpISlCZ7TK8cj9AXvA2iZtRXe5i2iBBVRnhWx9fkFM9N3
gIVmlHdnRWMt5b78afqEdFbWP2gJMV8bYgdMRbex0iMX9CNMqo1rRz/CusGbsTim16nMPGpI8Ao5
KTWs0wvrqveVeW+gGOMW2XVf4UasI0Nm4FQuh+BHNUgYODgPmk+xC6mtsj0t++wI/Ng0NlD6PK5C
ZZgWnqVGl3E6mvcDDEz7rJAoF1wibJa3s8E2p42RSy/Kb/8GJBp/y7242fqbXU0W8Vd/pKAklALk
h/qW/WqY+Af4A99fk4hWh3oN/1vgBF+bLIJ7YagQrnREs0DeCloGReHa/8//0JxvpKcIuGBTTs/x
H4IRDUWgO35BfwhGuCK+i7PWNC0Qke+z0DSmtoF2sH3eIuFSzUINNIYhw4tNJXQMvLlSg2gzpHbA
xrQ5AsHHoZGo5lxpnePaiMxpjnzmwguHG1vKimUTJjGwkYDE00zmYZM/emqvKCirNyibgA1ppJkm
Nd8rG/rQADt6aZYmKCZ9MI/C3pqZhYrDgdWWa5pQ2LkQM9FRV37UcB1kt6lXeZdCsA6F5rzgBAR9
czUo/aUFr/GyAFQy9aIOU7o4pTlso/WAUSx6qY1DDdfJnQmOY5xcEXCQRsIfBF2XUGDc7SZ4UmBW
Q5ltycLrNGwpipGReflIYx7P3knkpsq5q+J/1Dcp/0Zze2XBNJ6g/H05CoR1SQ2AbwF1PQr8Nawu
RJ2AZMdAs0Mg2j1Q7bqkzYqc06YWKG5T4LmzujUmrRteYSkwjczspJVQwilNjY56UgzL0VdQtQIi
bjd0CMpn1DhZcw6M3AFOntOxPzKK8aLskLClZH6nFdZjBgQdDRWhL+6zd6LMWbs3Xsvu1kGqbYGv
l8DYZeDsRtVVM1Ug3GEqWMs8zu7DLj6G4v3QCzT8ACy+F/j4pnYWAYB5I3W2uUDQK2jjAFSn0Z+a
DAtQ73yiCdh9EEB0jwQUXwWTb4PNjwRIvxNwfUh0PaBVIPyJAPOPVXVngu63zX6a6Wo2j7yAuMgD
i5fDBcgEKSAR9IDeNr1ZBWMAFdop8rOtNg1amcNjBA1j4jmDEm1zkVe0ymWrw1NxRCUrr+/R8XpK
vFRfuJrylLtRuPB7X+gAqJTLbW3hpVa7MHvS17FAvj1iui4bBFmxYdATGLgKgsS5rh1JjeMsPXTs
ppqdsRAy++cAlVaPKuARHfxuAs65ElZEpCY8nzQ3uVswr6z9fJqnUbwIYCWYPl4NFuHHlLZfDM8f
sEyb+ePMpV6D6TZC3vh+ePhKzHy7P9dad6Ua6QXF8nMzsoEMBotGPYLl7HZrh2tWen2dF109NQfr
IkrMO4t6QJRSDum0cJi5Yb+MwIzIBB1VWt9bsS/PMlJzXBZyZ15ZDlbKDuJBdZgusihfqyowfCm5
RWr/KCq805pOxkpRkSdVqXfH7UpvOtC3ncNs7/vzJFbHYzT+H/wqODPMPKUs0FlHYWGdqg55bY2U
skQOZFd4hGR4RiO7BpzX8xUbGWglOGrC4FRtglMlyR9ihcTQpi03MRX3FlbaXVNW53hw6fRnMmfW
g7DHd0g3ZmWKhI7vEeJKTb0kayDQNkeaFcgKdqZ7h/RBStkfXjfQHLYe/o6eVD8BXQZILTpyx3Jb
pJo+p8wMXMJRsUnJRgISM4KYTSujrf071dUu647WlhY0A/SMSp9FLe4oUSH/pLB3ogfBaUAGPgG4
oTGtCySag4fR1G5cgXUu3QwMWB1LkyhUrgzbecAuAD1ZLb1UJQgCtBx+mk6D4D24tiK13Tk8iMvS
b8CUqDetX63lFgUMK7ePA1raE9dKLmO0qnsrkI79Lr4NjDqdyXV/bA42iGW4VMCvDAGRjUlTu2ge
6yihj7K/HtNOmoBs62d4G/z0RvemyAFhDAqhtBb4+bL3w6cypz+QkRPKdjfOBGFvmgKXh38ijava
zhdWZwGNK8bLgVxtLrWUXiLHu+61YN6o0spx8xPHSTDuzstjw4ZMmyo+yQtQbzgYZoO+V2Ys3GS4
hwsnDFI3RdUHiPL51E269sxsklvVaE9HEFjwnYK53uqLMvTmKGucBHm5Ciu3XiHPG0270QwmCCov
B0t5RAtpbXjs2b3QpaCqUijllh7Auu6Lzdh7c4sEY1INGGZqykNmpzM3silkdSh6RfLKquHgeND6
WiaBzH6kcVJYAepetOtR9R+sm7wJ1qNubKOajTLQzGzextaKxd1P6jFYK1pXTgjWzkskyJeq3tHM
oYhhxyC7rQ7LmFaVsBcvL8nsaGCJ4qVMFZOzs5xngd9AQ6PEKYtipy3KnpJFMl1W5X1ARdSAZjVF
BPIW5f8HyCXupGRfQMSSqUFdGM96yqsjZVbNtftl6ZT0O7MfZViQ3tjZUyVqs06Igw3MvvEMkJYx
cynhcuaBCuBnXe6f1KLKW7dgK0Td10maJ1dUgmWreNKQhQlDzMVcUS2uW3etiPqxLirJjqgpe4g0
IohFnZlVVkxd2zjzLZlVJqrRUpAtMsrTAzJkc4t9UtStOwrYg6hkB1L4e0Rp2+hoVPlJssRDbEkc
wTtw22vFAMFetLSJR8k6Qt6IozilMoB8uTUFXw8mTFKqcwGI9oaE2liUTZGjOO8t5OIwEjyVtYBW
TJ3/tKXUm4M0eeiEfotUUF33UnMT+YZB70+6l4vGvST9WbObV4671gEd+IFuUAFpfPtIriOnoCwU
ZzSyy0CmKIIAXDviQeEU/r+tyV/kEY2/BVLfNORgSbpD1ED83VskjfcmuGfFAlyE0jhc5Xcwavkb
+GrIzYhqg6KGoPMWSWs2SggAmWQFsh2/Ilo9b5E0Ugj8A5K4eJJTacLm/B/gqE1D9Pv+jKSf4Uoo
O2qmouK9iQa26Pe86+coMB4TKUuS8xF7OrR6QYJAE+0xrhvTMAMqR0EbQvNaF+52oMVXcqMsA5yp
/Ab0AXLmDnZ4Kar7DfZ4XZVvokZ/cCvk4LDP60fl1HP01eij3xcJhz3f8h6qIb5shfeeiQkfgCxz
qj/78gmHvlGhq5AMCPXHEWRpWzj5ZVj6NS/efsmFLdz+WMXyZATZUzoRLoPGQnMVwg0wwSVOgbkT
3nfCOzDDRNCmiDpTm4jQTjgMNmaGJSSegwbxFAo0+BAGwpHQGOzTGotCDatCqtRboBNrdGhEC/6G
4CYDv+stM0wOTQMx6gzbQwP7w1j4IDq+cathjDhm9e+dby4q4ZhYImE76Rz7QsdMEULpeYi5YtiF
i1xSXJJZfBdDi2NWKaU7R3gyZmM+kzFp9Ev43CO2jcSQ9VFqYJqRCE9H7AwTHPmc33sruUCIAhcm
OzvLi0s50xYJ5SqOlXP04ReN1pNbgDcIQ3zS6HZrCuZHsXTf6u4dZ+PCbGgTOCB/V1qc/AiG5jaX
cKVMhD+l0odnA2oRE+Dml3LvUt8VbpaFfmQ+21vWwumSSL098zC/dMEyIXGLH+bQtNc+TEf+N2ws
4ZlZY57ZcBsuGsHTSPhqQsJZGoHM2NjKlFLXSSE8OMNQonInfDkz4dCJis9VYGcnXec+6UUO0M00
b/TMvJLIRacwk04d4ffZCOdPPydiJMy4ksBwGWGtn2JlQ72wCG8wfn+0ZTQw3eQyIZYO0/K75wDR
wCePAisPtcqF/yiQGQzNUd6cEjosNB1tzMACAYcoJbYdzWzEyNQYIzBF7SpS4WSmTT8Q8zRb2zDy
mW4CVpOt/D6D3u2AABL4YpixwjWV2Aw+Qq9UUIJKfF9t8ARjT6nJVJx8jQDgbYEFq5s3VK5lSklZ
AMgOsw0bkxrSwBjzVjnrY4LMCChOdR9g70pz9ioVfq+WcH6VFDxgE+EGm0JmXzgDtaMMq9gcy1gb
61jN6LzZYIxncuM+ua2kzLTWQDbLvmqwne00UkzFdY+sSIJhzKSfQN9f9MKtthS+taoXVSAooMmH
BRpV0jhsPG2EaCwcb2NGdFJjglu30kzGFBeZHrpXwicXxsgSGaVkPkRX+Ekqwky3xVVXioZN3eKy
27c3UQyXqrcvImHDi+UuFXdhzavh0Ttw9E1qXHv9sV74Q2seA07pyFdr2OsGqlCpNGx4r8OxXhlz
rNJ0MNeqNlMlfav2FRqf0hovmHSOkFU6RyR7k43BashrY0pyP/C6ArLqDg/YoaSYrRbddWJ1GapK
tbJ0UY0WWsXcTxuns65hBvLvP9UYgYTBiN0JDH0S71i6oru5rRKmhG4mARU86zYvi7MqBugMOWab
50gvw+CoQnoO+Dvp87QDZ28qpHLyWJ66CtrOmITOEkb8BCUG2oops6mp0wcdUtuCrlM68wIb4kpL
4RPkx8qFO7LKFHRGzQCpCLZG6tSLAork1Pf19Vj751WsoZ5ioTo9BNo1PMwOM4jsoqjkJVrmN5gY
IVKrXGMpQ2ozQgiQM2vjIXadm/6xysPNukBG/FVubgHbK1N0VYRqAj3b0mBSR5X70JrjQ1nTj6t0
b+XF0ioPlUZIxiE6UTfXuQ2ppox4v5qE3yx97Glnuakg5P+g+M1WgfSY75yz0S29AmM7Va9uUNv6
Hqn1XVkgNBZHzZ3ujDIpXKfQSVP9k7EKwdLZvoFVI7ly5hXIvikaeg/hdWpqyzFHfM+NlIcuoh/o
xOHCiB1M0BzgbVpuwolQv7fmZVcdj+59R1fd1y7pzk5oh3+n/HwbaAmvJq2XcCDOVBy3yeOVCmdD
c6uw0c+V3rmg4cPSBsawkpBBmFjmGMxji7w/0PHCdLrTKo+vWtIyq4/ZfgO44INyjV7ciZ8RH6LY
dWfV9A7loj4u6jPkaSa1AWHGA9KlD9hcxEjyLtWixAOoDJBEHZdxXIantGCJlqVy7QyWtGjRjF3A
WQknI1ADFDrpTxluMu9y79gAgTCtTHRHwKl7NCbhLakrEqqtHST+uktrZAWogxvWXZgl3RImJDSW
uhiHM4Wu3dSveM/WMJorz64xaHOnGfvXsVuPwIW0MjuXR9IqrAb1IwD9Z+ARbXvT6APVnh4SjZ/b
QngCio1TeIvEUNZqbhyxGx2bLlMHQ5ZJWdNPlkpd+45ZIztEW9CYr6QV5ekzXa+8VerLW22Qt9CF
f3DkIGYCj3CQaSrZFt0KmUfnHtE8z2aIoz72AWqshucvVRn5IlqsbA+eee/3WBWizR/OO4L4Qqkg
dwF5M1tJwGTNE4/Bzn/U8rGiu1eRa60kqVPRnLPOtRwz5KBJlGkUy7cMP6e4Em/zPjxuVQ+nTWQC
y8pchnaFAYpmob/cy7hOlnhhBziMobnR3ad1Tz88vjb0YWbGxi28rouhCOmqjtFRp5uLMogvABMn
9Jb7hVLnEHj0RzbXC9wD0ym8XIpoZnEF32vBBgdrX0emzVGqs9THA8saAe2aEH1hNJ+To0EMcn3k
65xomJd9zXzovBgZqhFlDBMKTg95Ojeh8gaZuhlhq07irltaNAomOMucEeTel2V+2luxRR9KmiuQ
Z43OfuBooeGrXgFhPGHlrizVlKFp+KKIl0/DIF53CkdtpJwGbn3ixtkd6c9950ZCjMK6q9R+nfW0
iLrAAWYiQcFyDO97MsgpTJ74aAyOS71c07Bd5J1KBSqwL30j54yWzFu0VtZjD9U5DX7EOrrMEbiF
ShtOWyy2VkM5UEPrzXWiIKttJmyEEsBfI6B7buh4EKqnnTyeNKWmTT2c56DimHdhlyQXGpBQ+Hq2
NJGwH5uhLzJOUMfMp52uAnNJ0mGaVxZ2UGO5qqjszUo5/GF1xDB231xYeaUtnRKdHs+pqtOkKOlc
aB0oeAu1F8/FqcCVlg69KWJOt2ZxGRjd6TdmLR2bgZUsTT87coi2EPHPNaQgRrjjweQZUfZ/oK3x
eovCC2Se0joeLpttOVxtK7ADf7gNi59eZAAubrL/v196S3d2X+hV4/5myDEh2TwlQQpbsy6Dx/o9
6M4wHITifsHpPd/T8w3/3SXiDc/VPHFtzfom+iNYIkOPFR8yJ5RcvNcfSwqZH3mfCiZPwTiJz/vX
uPvmX4bq7x/wX/mdv34CITjx/Gr+NAGQSQn/8UhwnXdD8Sw1IbS6rJcnJZP9ZShU9RuWLPB1FH7C
d72bKH81Ff6XB0Hl7e05CCT6zw5ZFsWDXfNB1b6pMuAZtJQPchDEze89CNY3xBttenLCxJwPj/px
JqiUOxBzPMgxgL21/0RAG5sHlJGr/Pjw8jdqPaqjIUH4OkMOcjEYe48BrWA4dRaoJmpUfzEPkLIz
gCa9fNcB7gj7b4umUC2l3Q189PlD7e/XxaBQADTpsR/sahCN9z23RQRaDVXFN4YjV3w+ng2K/Q0J
B1aM8jJKhzof5I+gin8lYPh4TCKAgf6FIbbaXUMBSoIPPE92joPcGUT5es/5YIt6OGrlgpQgPmKI
3odNyH6aNjAR5HYPdRBezq4XN9A/Arn/IXT8dSYgRarwhLApds8E4bxAcInG4MEuh/13Bvsb0jKm
ob6GCiL6+DgTiCfRajXM55lysEPxslr3mw+qmPJsDc9P+nlRqJhp2cBg9JdT6fCOy096v/98e4Sp
BIuJ+fCaL32KHeVvDhR+LCMPdRAE2X+/7REml+7IPKNo7okPm+DHRYFOBfuG8vJdhzcThHLh3oOA
AC6hMpacz59PM0EnlULBGde5Qz0jXhLdffYEkxBaoWFLIeHl82EmUF+wbDAptnKoy0HeP58U/oKk
CY7gsf66DigpOLZQtzzUKfAJPfDPd0QLNTXRl2dLeDsBfx0E+ZuG8oVCf+tA14H+FVNAwZabiPF1
HXxMIIiV6NrClhV75UFGzcreqYPIp7G4QHj10zrQvynoncrUXN52icMcg5fobZ8NUQVDjnAXiLeX
1cCc/2U1KMY3g/0StPhhx4vK/vmDSZlNZWe0XvOHj6EzSTWrxcQ04VALrq/hyz7zwfimQSUgh3p5
3bsK8CggEygJm9uDXBT6/lECcDAdfz7DxI9PfESe+Us6rZA5iAKLkIY+yEFQ9k+fzG+8Y8rKbzWm
T8uBVgw/4wg51JnwSbP1nwcL7AkG5yA0zd3xIuckmq0yp8jBnpP7l1wxneZ8QJf2r5aD+s1RDAWd
9YMdhJcb22NjFDwsaoxQo162BFG0+3VPoMQmtPCgdh3qnrD/xogSsZBKoQnxMgrEHx8HAdwrRkAg
aA9zYxTaKuzYe8wEjTzZpm4k/1VjlhySdpQio8N/oIMgUNF7DoLBIKAXwXz/y5kAoRFOvHqoM+F1
iu4zE0glLUQzDezznj8M66/LQf0G0JwdQTRoDjJOUPdfDrSaaK4AY309IT/WlcRygFTqcH4c6iDs
nUqCW2HTY1uEjPD8+bgxMgiOCbtXZRSeP4c6FPunURYu1iYKW28T4tOi4CRFwYXWpP42VIe5NPaO
GWCcqJjj6YTIL7PiU8ygsouKlr19qPW21yxvn02S5Y++A+fla8zwaRBIpjhHqL4favT4GtvvMwhi
k6TpJnALb5P+40kB8Qzm0MHmEer+MYNGrYlBwNnxZQ/8uDPgSGsb4HiQ6TvU7fHlCNtvJnAUimF4
LT/vWg6WKMepr+fpgQ6FEKLYM4bUqMTLiIu/lpo+15o4SkA0UGA41Mjhk0vZP68w2N8MdD3ImV4D
g4/hk6gwOOI/VOXE51CXhiBB7jkfbKBdFF85Dz/G0QoYHsBMFOUPdTXsH0fTcyCrRED29Yj4uDGw
O9K2ktk8DnUM9p8BdCNQIjHoSHyYATy8gmwOo/NaiDvUMdg/aLToSglJWVKml8+HoQD3rav4m2BA
eKCDoDN199sKqLaB1+OFa38FaMOwwma9UIM41EHYP6nUxYsW1YO/BiugaocjNxim58+BDoX2UhHd
J2qi0sK+oKsMyPPn4+bIKak69Coc5yXLONhzYv8A8rnUYFkAtl5e+qeAgaRSRXAc2c4DnQ+vN7bf
fBDoZhoSr5vkx/OC+cAGqpBVvhxKh4fo0vevtFCNt3RFl99gbZ8GAYAjlTf04Q52k9w/bALMZMoA
duyX8HhXX4Yfso0KWQ4+B7so9o6egDkCbqOW9MYTYq/5WGQwaWobtGgOdWfY/6QQKi94YsIRfH7d
n+fDc4yJ1aZgEh1k4fGT0uQ/TioJn8DrmHBE/iJyIIYEKU/TWnk5Tw91UbziEPc5KYAxaEj+sAm+
zAce9ZdF8dytE2fFK7Tw8E4KXF33DKdRCoUwC4iLJszzZwegxaB7bxNy/+uL4l8YqT8IylM/iJ+e
qcnIC+5iMP/VL7y1aj///B3n9pl5/MtvCqryy5e/MHPF//+vX5jL6jNh9t1P3wi0z9/0+vevj/j5
y3/5srfnevvHVbAtN+WjPzz/YHi90TMM6//zP/475r+eNh8Zw6Ii+vZvO2jW72OFv786amrbtwu9
oyOTjPz5qB843P/yxZPNU1a+XejdxVlSe198gu/erhvn5va+9nQTb1peSfV2rXf3znzf//pollWf
XinhBifMF1w8rcvNb1PchHd9BVHD3l8x28a/nWXlzvFn79n7+vP4t1lWMnnervVu/Dnw977+okSy
dNfFCYj3vvgy3qbp23Xe3fhXLNdVk/zI4qf68+UFunnvWz9K8m0ZbOK3S/1598pXLNkjrCB2XPor
VuzJttwx5gLeuvegnASpt2MjEIDJva99uol27GGCSvIFl66q7a4x+YoFeppVv/136m3j7a6R+Yol
ut48sQG/jcO7ifgVS3S9wQFsx7W/YomKayNNtePW1a9Youtt+pQ9Brt2L8FS3XvarLfl4/bp7UJ/
jrvgeO1/8Yx7f7vOu2t/xTJd41q849JfsUq5dL0tt8OOy3/FSj3b5Ltmy1es07Ntu/kcOxpYBrw9
yx6x43m5YQt4u9C71/kVS/Qi3jxud8SOAh249zy8QE1rV3An6LN7X/wqIHSsgqcdIyNa4Htf/3rz
WJISpPWO6S7ay1/wBelvky0Oibu+4CuW6vVGfEGZbsqnnRuZ9hWLVnzJLNh6ux7iK1atuP6CFfAY
VI+7vuMrlq/4juNsUzS7TivRJPmSd33aBNVv5z+CKt/1HF+xmMVzrDf1dtf1v2I9c/1689tkU/7Y
7IoZ9K9Y1i/fMY13f8PXLGzxFNOyGd9e7J97qij+7/+y/c3OnFC0X/e/ODWMnYP/JYs5qCLcOpu3
+3w3MF+ylrN4syt6ENi6/QeGwGSX04/+Jeu33qRBFW+a6u1O3w3NlyxdUWbZcQ4LSvHeQ/O3JkjP
Anl7hCd/7/K799UbdoIdR7woQO8/Ln8var/vvX/nBptda1VwXfa++Ycs3rHPC7TX/pdufuyIlEW5
+3+49K6y7B8CiJ+LtW/qjrv+7NdatPiNx3i7Kf/r/wEAAP//</cx:binary>
              </cx:geoCache>
            </cx:geography>
          </cx:layoutPr>
          <cx:valueColors>
            <cx:minColor>
              <a:srgbClr val="E9D7ED"/>
            </cx:minColor>
            <cx:maxColor>
              <a:srgbClr val="7030A0"/>
            </cx:maxColor>
          </cx:valueColors>
        </cx:series>
      </cx:plotAreaRegion>
    </cx:plotArea>
    <cx:legend pos="t" align="ctr" overlay="0"/>
  </cx:chart>
  <cx:spPr>
    <a:effectLst>
      <a:outerShdw blurRad="50800" dist="38100" algn="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plotArea>
      <cx:plotAreaRegion>
        <cx:series layoutId="regionMap" uniqueId="{A7644D02-111E-446A-9FE2-56028D4735DA}">
          <cx:tx>
            <cx:txData>
              <cx:f>_xlchart.v5.6</cx:f>
              <cx:v>Amount</cx:v>
            </cx:txData>
          </cx:tx>
          <cx:dataId val="0"/>
          <cx:layoutPr>
            <cx:regionLabelLayout val="none"/>
            <cx:geography cultureLanguage="en-US" cultureRegion="IN" attribution="Powered by Bing">
              <cx:geoCache provider="{E9337A44-BEBE-4D9F-B70C-5C5E7DAFC167}">
                <cx:binary>7H1pc9w40uZfcfjzUk0cJICJ6YkYkHXoKsk67La/MMpSmTfB+/r1m5Rkj4pV8lAbXbHx1m51d3TY
VQkm8SCRJxL/fGj/8RBt1vmHNo6S4h8P7Z8fvbJM//HHH8WDt4nXxUnsP+SqUD/KkwcV/6F+/PAf
Nn885uvGT9w/sI7oHw/eOi837cd//RNGczfqQj2sS18ln6pN3t1siioqi998t/erD+vH2E9svyhz
/6FEf3601pH/Q+WJv/64/R3+8+O/o3W8eVx/sFSVlN3HD5uk9Mvurks3f37cGgd//PDH+HE7rH2I
gPuyegRiwk64TjnmJhFPH/bxQ6QS9+VrDWF8ghmmzISRn5+6AlbexdETP+vHx3xTFPBmT//fHWDr
NWA2/v3fZ+FhmI0BABew+PPjfeKXm8cPt+W63BQfP/iFepquvLPU8Kr3t09z88c2hP/65+gvYLZG
f/MK5fHU/revtoH8ryCnfrI5AMb8xBTEMJFBnzHmI4yROGHwMQxGxyBP5egtjLfoJ0G8RXFkCN+q
aJ2ogyCMDUQ5Y0R/+qARwiDFOhXc0Km5jfB0jvYjPKKfgPCI4sgQvlRJuck33QEwNk9MZg4Is2eM
yRhjdGIaJjXJeKt+D0/7Ud4ZYQLOOzRHhrQFSOeDRi7KQ+hlfqIjLgQhbP+eDRKNCOUGQ7Cbv1bM
7+VrP+J7R5mA+l66I0P+ViUqPgzmlAhTMPyWhOMThkDEKR/p6ekc7Ud7RD8B5xHFkSH873j9qPID
7OH8hIApreMBwG0zWwcTDGNBdPFTgb8W6ukM7Qd4RD8B4BHFkQEsq7I8hKUtTgyECdXfsrQxOjEM
aiKEwUJ7DfBkhvbju00+Ad5tgiNDFzzpdb3J18VBJBgJEyPMXvZocIvHgmxyXcAiGFna72JqP8q7
Q0xAepfo2NBWUVUcQh2LEzwACX7zs8G9AzU4VTonpqDGtjBbkzl6A+dt+ikgb1McGcK36+SD3EB0
5xCus3nCDXCeMTGeDW0xFmh0QnWsm2gs0O/jaj/Se8aYgPYeqiND3N5EH1YKYq5//w5O0QkzKBhb
g3s1fHYinhTknhKIeI5Cnu9iaj/eu0NMgHuX6MjQnkUfbJWDyf33o034CcPCNPBLeFvsiDcY3kJA
7Mww9xne72JtP+a7Q0zAfJfoyDC/VI/q4e/HG6SbCl0YApnP0g1W2Ng+MygG+xxB/Oy1BT6Zof0o
b5NPQHib4MjQnUOu5yCBbvOEEWQaBkLP8I7FeUhlcAP+QSObbDpH+/Ed0U8AeERxZAgvok2S/P3y
S8CDxrqBBN4RXAh4Co4YMUZqeTIn+4HdJp+A6zbBkcG6rOLvKnos/35kKShaDlY03UWWniATER2y
0M9Cvb0xv4el/RDvjDAB5R2aIwP6M+i+6il/Uf3NFQVgPnNwi/W3MhewRUOcE+mmPspcvIOl/TiP
B5gA85jkyFA+jdNN7q+jv1+cCeQiBOYGBSSfPuN0JDJODFDUBoJ49/AZBTzfw9l+tHdGmAD3Ds2x
4Z10h3CiIEaiY9DL7KWAZMfq4qCbhWlyPhLp04n8vIHwa+op6L7+/ZEhe77JD2FuGSeEPeUrnoV0
kNItdwk26yEPjQiGMMlrd2kqP/uR3aKegOzW748M2SGad1H5xYer736RHkJ8DdDI2ESC8qedeAdk
rJ+YgD9kpUCwX4P8f8DafrzfGmgC9G+RHtkqOIdi00Pkq8wTEF0o4KRvhLdBwE34DhKSYwGfytB+
xLffZwLO2wRHhu7tkG8+REGBgCogjCEf+RIPGZd2QsLZHEoDqRilI6dztB/fEf0EgEcUR4bwxTo8
QLICwiGQikBMh8KQp8+eHKRABjI5G+E7lZ/96G5RT8B26/dHhuyggM7UOqv8Qxhg7EQYkI/CFD8D
PHajQICxgO1biOcs9MiNeidz+9HeN8gE0PeRHRn2F+ui2BwAdgiGUSjH5+IFdX0HdjDJ4GvKzZFa
ns7RfqxH9BNgHlEcG8Kq+PDvxN1Em0NYX/RENzAm/Kf1NVbPiJ9gSqAmELb44TOS7ov3MfcG4nsG
mQL7HrIjw/5r9f0wdUMIhBtyGG+ViEERIOhrDqX62+7WVH7247xFPQHgrd8fGbKDarqEY2CH8KbZ
CdRfMwYnqp6zFTv1I3BiDnNEBR1J87uY2o/x7hATgN4lOjK0L9ePUO15gBi3eQK1npBwZC8VgOPo
GAROdBNOYVA0CpxM52g/ziP6CSCPKI4M4buNtz7EkQuwwyA/YYKSfqOeYDj+SijU/qFnS20k0tP5
2o/ziH4CziOKI8P5cp0fystiFPws/aUMbGyHAcwGQWBsi1ECYzJD+/HdJp8A7zbB/wB0f8/i1hsP
x5///dPi2XN2/f1H16GOyzQFej4ysxPWHkKbCA5TgTW2r64ACuN/nbd/Dnrv42k/rq9pt97x+RV/
Pyn/4w6mD4syVQepsX8ypkC/8hdHeKxhAUNhUsbhSNw+DN/D2X4kd0bYA+fWX0E3hh2aI8N7MBjn
+Tp58IsH9RuBhWDke5tNMEhBMUgTP4M5ziPDNgxxMGRwMrKntjiaYujtB3v/MFvw7u88sZ/wyGC/
3CRQk+sfpG4T8hRD7QBjL9UiYznHBIrumUnIUI7/OgX5Lqb2o747xATEd4mODu38AbqlWAfoKEN0
U5jcfBHyHVsLYp8cgiOI0X0xr8vNVL7eQnuLfhLUWxTHhjOcVj8AyhC4hH4xv0DeOUUDihuiIBxi
YKOtHPpCTOLnDXRfU0/B9vXvjwzZ1To9RNADkIUWBBRSyk/iuZuaAJcYMhM62GzbW/VUfvYju0U9
Admt3x8bspt6fZBuXyCUJmZQnPsS0NpJOyEo94LzrDvlAqvJHL2B7jb9FHy3KY4M4Sswr91DFAwQ
KMuF02zcfKvXFzR8M6DLhDnONU3naD/CI/oJCI8ojgzh62j9cJCSH34CWnXA+CXssU+G2VCWjX85
Wa8N6ul87cd5RD8B5xHF0eFcQRPJA1hYEPkgJoOTqy/Rq508k34C9QFw1JGMjrpdR1M5egvhLfpJ
CG9RHBnCNz40Eyn8x8Ns14LrBiEv5de7MUwGBdpMh+rMkRn9Lqb247w7xASod4mODO3b9UMOHU6T
gzSb4CcGg16cUIj9vDfvyPRwfHn4B2ryh88o3fQ+3vajvmeMCbDvoTo63IcmI3myzh8PEwKDU45w
LA5x8lLKOdbbiIHjRXXQ7dtu1RB7fB9jbwG/d5xJ4O+lPMIFYPsbd1J04p2B76fGfcyAA3Pj8zUM
zr4SDqvipZpkF/vJPL0N+/YQExHfJjo+sKFtp1zn39cHqRyhQyJjyCe/UVcw5CYFh8oCaB/19NnB
/X3svYn9nmGm4b+H8CjXgBUdZgWA4QZ1nVC3/1YYHJ1AHgxBrGVkvsN+D3M/ma3fIb89yGTct8mO
DXVvfZCOvVBKBP3TYS8nb5V94hPY6HUOR/FGwj6Zozew3qafAvM2xbEh/CxAedUfwCuHkkAG9WD6
z/5CY4UOKWxo7wpZ7p0DV+/i6g2kd8eYgvYu1ZEhfldB/8P4IHcnwPkcDmY5HMB5zobsJK51kGqM
EMejYu738LQf7Z0RJmC9Q3NkSN/6m/wgBhv0HTJ1QJI/O967WS/9BL4Ekw4uUdjnmU/maz/Wo/ea
gPSI4uhwLkK/U9Xfv4MP/R8JlBjhnzfegLu91fIAdnATbksxoLJ7pKf96Ty9hfJohEk4j2iODely
nfhFtK4OEUNncIpOh5Zh5lvHZyHfqQ8nsNio7hcuEXoHV2+gvTvGFLx3qY4M8Tuo8Ybbqw4g2tBi
DLodQJ33i1O9E17FkDKB7nLQ03lbtN/B0n6sxwNMAHpMcmwoV+BYHyJlAh0tiD4cx3jDIhsqj8Tg
Whuj/ftuMkdvYLxNPwXibYojQ/irig4RK4Xbyhg0mgI5HStm0NwMjspCs8Bt6Z3KyH5Yt6gngLr1
+/8bkL59Pd2vm/7sdbmePd0R+OqGut9/+zQ5cLfhiPSlGHfP0Yhf1V+nj39+hFoxYsC1F68qwoeB
tkp5X3rt/cRum2wDUZk/P2rgSIH1NVyEwqAfEVxuBHq52bx8BTY6E7B7Q3kSXFpoguGWQI9wD24x
pCcCtgQGfpqgJlSnwQIpVPX0FRQWI+g5+XRxFnr66uebXquoc1Xya1pe/vwhqeJr5Sdl8edHWILp
868GbuEFoTIOes+C9QgX8Qi4Ug2+f1jfDK1yYA7+V6trbp3nSbXqu9DK8kq6hSF9HstX87LnMUgH
TTV+kAG+yBAf1jG0Ix8YefUgFJV1ZgY0XemVIe5DL9NMK2ZR1y9h5zNyi5RJRU+LwulvAxy6EmSG
fgk4c7+mKuBnuduJc8TiVKYsN9prryM3pFO1ss3OZcV5HQYF+Va3mcmvGyer63mAFLVrWvvSDLXo
qgmiAs38NFV4ppqoqi2uuU4g/cJJ/vLDTswM3ue6XSQPRkSbFaNpdEUrPY0slIZRN1dOS6yorqQW
FaqRzG8UudJrZIQXdRRc5WXYyDhNWssT11DLsjGK9DHJ3LlT6HeszpZJQxaGZqoF1uEttNSfCerM
RTwz2vjU6brMJmHs20WO7KjLfnjcu+lTukI4/VGR+jZCbjxraB58ZaEqbOGG1aXG0nyVFYZ5Fvni
MhVxNOt7XMhE08gPGhTJkjqevkrKLJ3FtZNJP9KMGW74JSnFqkiKxu4xr23X7/GiTNh9h7S/Iuxl
tgo8I5dl6WImK4I9WBZOPAN30p9BawAYosRzFJr5fU5L0tomT7ybwq21WcVQPhOt3v5FI7+DWcSq
lEVY5TbV8s4OjP4mM0t+5oHgrH6/xjDI5niJQSNs6O42dMMnsKy3l1jW5ZnrtjxfFbN43eQS3fa3
TGoys8plsnSQ9Gx3Fi/YLJ8l0jijczLDS8cK/8taN0CiX/HBIdcNd09CkByaReo6hUN423wYbd5U
buGplYPdsy7yWit0M0emDcWSs1DMstoh8xybuS8drl+6LHfOEGBkhllsdaxbCUfvJMf9t7JVYl5g
J57DDbBzh/ffmOEYMnA0Tzp9+yWLUiZxnnUWKwJit42DJfKCWBpeO+uIWDQosQKntzLKHdkbYtkT
JDuMF9BfC8mszGFRCGrVcbIMWmorQnOp9HTWNO4FdkJPhomP7Dr1ZRwHhQ1CvGpaQRaZG4SyIO69
26glIvFl1XJdajxd6CEsNCYyOq/04Pb3EG9vIjCzkEs24VTFUM5JwN0dbSKix41IYydf6XUcLGAj
iODl9cTSfG9mKJ9Kmrnr3z9yiHptozl65ghNra1ZXoduscpc8tVwcqutXGX3BVvSuLpUmaNL18xT
ybLMMqKilAZNuos+rzzJNeNC+fwv3S8yWRfaDyek8zTLLrEyP+lO/2C42be48TM7S7L0/InxF115
/Xqrf1Bpl/uu93Jn768//utOxfDv0/Wv//nL4crf//xpsVHD/bfF+EfDc3796j9XyA468Nd9siPN
+nxv8E9l9J4v36WTKejpX6e0dnTyS7IJYuW7anmg/KmWh4urOCg+wuFox7OC/amWIV4CHarg0iNi
gO4xGVD9VMtQ0QABs2EdGtCTXRAQ/Z9qebh2BY5d86HzCUUQTv91ufIWVmCQvPz5tVqGowdbyw5G
4hCugTscIHIDpwWBle1NRDiaMl3O06uk9dUcdWZu5zjCdtQmX/yc8BkOciQLnIdWFLIIZLs8zQz0
o1Z6LFUcN2dNVBIZe2Fgl3q1dJU7GwwBm+SKSJVUwbxyo1nAgu+Nk7cS1Zkv6yTOJGjqZMZig4OS
6sS1l8X3Rs5zmTWkk0bYX3Rhd++6pbJ0/4sTkLsYroW+YsjRLNWiRlY+c2d6i/yzOPK+ONQNZ6EQ
n3hYtrKt8AZpeTV3sdbcJZlYmiY7D9K2m+ttMtOK9iZDzVWr0ug00rJVneTSpdnC0IvAqo32Imb5
rVeAbso7dVkYrJduSRahLjzLcYuHzke9VK5bz1jfgVHhOwvXz26p6OZeSw0pYHsr8tw/rSP2DSGP
WU3brGo3szHv3VOnzbhVtfHSU7DrtWHl2VEe2gK0luOibmloCKam8uvzyO9DGRvuSqT+meBhZgcR
aN9SewyCSEg/y5h0lb9o+sa3MoflUqtDCnuz5suqJ/Mq4tfETSJJSmRFLEhB2ZKbIGU3qnjEXP1g
MFzVwZT5WRpaHirWXpVQq3CYLykr7UARLEkaIAnXp0oV1bHsIupbZlcsuRI3XR2o6yxGl1kbtDM9
Q+nMN8BwgF71eNFjfEd7VlthLWzYpe7TpBNnWR0sQ1b6tpk5K71IwURywrnjR+eFKsGqUnYZ6Yuo
SeaqFZWNDP+LoAVdJC0WllPEni2ibN777LLLur+wiuc0qb/RpktPY1LfwAbYS9Q3G3hyO2tJtKlZ
hq7gakoiM9RdBy0nElTOpag056Im+XeUO0yWOcKnvpuY3zwtZrOMVcKYdUmRzfR+boSGI/OgTldg
fLCz1FXFp7ZQOJasc0sBE5Rp0jD5I095c1YbRHKHzfO0XZbEmXcGaWzi5F8FbTyLdmAvhSk8ovBk
WoXLvOkKqzJgirnrLLTY6+9JqpCkuGsskrJbnpnnJeo2kZeFNgqNm8jx3HOzr2d9XK+w19hIBMks
NGkvk8J7DPpUnJaKPbaMuZLwvrCNWhS2QsWnMlMwxfmlE+rcZnmTnimWW7HPwH4J6cxVPYUVziuJ
2g4o2lrJpHE7MHOdH1HqXEd5V9k0LvWr2quUZVYU204fnWc40We9bmZLt+ptDdU2c5KzJsCF7Tv4
a5D2lTTNsrzwqKZfkiY3NrruhHdKp+kyqnmnSRR5jXo2kv6/dho6zr6tnZ4rx3c101Of2heHcejB
AiFc2PohZE+EDgbHL80E1ZTgQ1FiQotTA84d/0czCdBZ0LlFQJG88ax+fmkmuDEINna48wvaakIB
D7iZP3X0BM1EhgYS6ZbLCBerD+lBaC2BoV8BGZnZddfUtKSsuSrbOrRoGX5RdXfDVF3PIuFexSgL
HpRfJ9LvyB0pCWzcRHNuOWt+aJ4+x2DdyZ7AXuBykOEk4jJmoIn83PmeuyGy2gh2y7pKbqiI3IUu
lLNoaueSx1Fieyn7XhH/1qz7L15cmhaOykrilFqt8mLYvdIzkhYxjOgFkohk3kf4Fp5lNyWqJNjl
no2rDsmAV4Hl9OZlGYp76JXiySR0H4OCX9Lc+aTT9spzi6ViKJV13X3Cnq7PKSe1DGh93WKmZpxg
UzLcgtMXhSCZWPZ9ZpGsCk51in3ZpGiJPDDcRamKWeiXHLbzlMxI6CzMMAIrm8Ri6aT0LhelrDth
V4TMqrTQZZYbvuXH3WmPAmqVicelq/efDfEYKwesgPayKOIzVpd/VXrvW2lQtJISv5ZV50TSrMHy
NNpuU+vqtEZszojGpNC9zy6KXSm4ZkU8yiTNYwmO3zLA7KrxGbhqruWq/LPSjO9V1Z0zFS60sLdN
wqysQKeVE37CHUmka5g3HGbIAT0vNZXPmyha5VTcmL7+PWx7Xba6QBIctV4K1tzHmH4NuFjhlDUW
2BZgAleokKJl5yjgd1pEEsvs9c9+HUSySYLznjj3aZuv0ko7d/NQyCKKNlTzvrW1dpeS6qL12ptS
mHPd1P6qtOAhEoEhDaOrrTx1mewjBeZRkf1gXXerV6BxMyouAaaLJmB2lge2Q3+g1Jg5GF6nqfp5
ygbNSP1b5QVLM+BK6i5b9AEzZJ6obyQxv5K46Kyka9e0amB9oSyTsZuEsi7VBaqjRwdWpMhJbIPH
u0CReVaZ3VKZ5WOt0UBij9wZhQvGiK/J3smukd6UEoV1a8NlXp7MtS6wNa/isiM8lboIPwclTFKf
aAH4chCToTG+Kc10Bv7PstPjXMyKMknPHLdxV7hSn9via5SdEpC5r3HpS9Vl+tJzQ1/2Jb1XWed9
6ppcnDphBOYhK9oFrR1f6lVDrSpDwayrPAj8aOkPI2hKcdGgrEw+OZ4TdLMyDrP+vgYHK5RG3fJC
SBc8mdvEIWCaaC757NNAzSiqbuEiq146HZVtQg1bNLUd8SCwWSIWXdoUoH84t8smj878lLIhKIFm
aUO+qtoIIHYB4hZ5sKSTpjSl1+aWbxgEvLvYdrlob3namlJ53lXr9Y/4yTZyue372VxvKrsKYzTr
W+TMEpN7dsjdecTYqqVUlqlv9Tr/4hvJ3ONgMpTcm4PSO/XB5Mj1DqxqdR351TyttdLqteJcpQUE
aeryjHqJu4rC9j6k5i3MLlpkgq6KIL9us+pehGKZE5pYrtN8L0z6WSnyV6yDPY6dzAoiEsss6/u5
2fifwSWnUvWxZ0FR9apxagEanDRW6EUXetMv4G+x1fpgCmal8TXVzFTiTJvlJPzR9dl9GrDPaeZf
Rjn9nhc9WN8xuzJLcWZWSgfH1yOSZA0496WrWbqDvuttcMNxcgHgZVIEfSPLkN3Hdd2AhJDSMhru
zTLu2mavUbBxRS8DsGNVCcLUgeixHt7Tw6cQ16ml75U3QQW7AEZnOmLnTlVehEaUW0ywUkaNCfGI
OgaDy48jWTEegC2C+pkTlhvN68u5ElkwLyvhyzSFiJQjtFkdVd0SJ+isd5211sUXXtjfax2YtWDi
PGh1Ftx2adtaedMs04ImMu5EaDM3e2iU7kst11NLxcm9z81zL00f/J6VlgvRtbs2yZdagu8ZrmLL
SQGNiIG1V4W6zR0O20ZzCpFEx3bMapkGoB3S8kHghsoijmCtFXHVGDLSXS0/y3XU1VKP3GQG8dti
XjhlIb7huCjZ5f+L/vpr08aACvDfGUOvew49H+h7ikk/Uf100xEcMhi6jepweeWTy/3KGIKS5OHY
LyTEwYeHnki/jCEKJWtoOMoPjrgQcC/mKzd96IsFA4JLzaGwcQisv8MYQoOts2ULCeijBs2qTQbX
A0HP45GXXvZEpVlVtSuQZDGrG8dLQbEHLLRC1tSfTM3ozoK2TsKZrofl11LRGjaSos1kIZLsy6vZ
2xM0GBrcj7mB4xbQHR8aUdDhgoTtmAHEndJQeBW4HlmCVm7YJw7IojI9qwU1JWTd0Oorq1PQiHnM
y8zKghxC7Q4Es6gFZzSTR1GCAwFjeJWNowjd94bG0aIzDWeDOg21899zvCdka1ITQi0CrFYG92Xp
I4595gG2XbkireHCTtT20X0NyRIyL1mnDLCLWhTYPnO47JnZ+bILdbKI67xDdl6r8tFriwJZoLcM
uyh9Vcsy9vRaQmgwdMFpCrzrsBJncSG8woYyV/G58LLzMGqMduYXmnnp514dL37/VrswwGlVHS4T
ghtXwSZ/eulXqQ7WaW6jpVEBgXdHfFYuR1jSEMPSSJOqvW7aXNymDor++v1jxxEjCDxBeokRuOEZ
3AZMBrZePdbQW5emhZusEt6jFQq9apUUoEK5433+/ZPGHsDwJHA04PYcuP9MMD5aZ2lCQSHlEODm
qU7XWaPyaOGUvMMyTD2INVRRbxG948oKiNHE/23RDIvitdDBW+Lh9h4KV5LDNWvjx0Ps3/fcJPZX
LAuNdRxUxjqMBh6MPi5mZq6U7HSAftFEWYPBfVZsU0aiOG1ERy9ak+S6RZpAhVbAkvie5Ckmtse7
bpNqdWrrWh8zyxCK5kuDmOAf/372hosbx/yzYduAkxIYMhXjnJtuVkZiGI52iSonXvt5WUC6SwvL
hErSdYl71nh++B0snvSi7TMwVBRtfQujmv0oWQ+av/NcZlEV1BuIBLLH2kg9dvZ7JukoiwHOJaEE
FtFQeAKdjgw2xMVfLScz576eeyW5DGiWOgLMNuH1i7ZsiZiXdVVZeZvpn+q4MyrpeRBJy1GygHhk
uohoiq0wyuKbNDLiVrKocb80QaxOu6IsZWpk6b1ZhNx2ssSxKhUEvvTBT2ykAzmrVZNqxVWm9WTm
uhA/kVrvJLGFa/DvDLOMbnDgXrtdQloZVSxblU52V+JYI7ZZY5hIv8OwN9Cq76Xe8OAi8gz+1dEr
euaZHF30blsLq9E9GsOt551/qvG8i2XT8d5GjaHZfdA+pEVW3la6xjzZxCWDHF5WnVIHomaZh5pw
4TANgWXthc53OC+Rg3mUZNq3KmaxnaYFPg1Vkp6iTESPfp2CHZeSOLz1hdMyWWfUPcudvLI6mIcF
ZHrFVdbE7Yw2eTZHqEXgRhsMuVbdgINs1dhzZnFBcrtKxZXnaK5uI6TKJaga3FiJHpiSlyz6q411
7xznIr01SGksKhFoeF6Ycb/mpspnBZiD/bwerGKtbfU1LqLmR+GmqWH1GALEMnFx7c7bMlAgHE0z
69y64vNcORADLUm8TOCnElrb5ZByreOayaAIAs1iTsMkU0bbS1pGDuRxtSRe5GY4c2nV6Z8agqjt
F7keyQBWUjknZSOKRUtYe2GGfR85n6omK2MIX/pRl+SPnuNh3H8tGq1lsSdFDlu5esBdHJQkl1VZ
VWBAliE4Je2Z8LN+UYuqdE7j3PdTGeBI3epMI6dBR0gFro2IHAm+kGgBrhicj8RxQB+WUdhkkG9r
XN3KoxI5V16mm0wtw441nt21kSgvzKIksKIg8ImKxqpAF85NzQucqxpEx3StDIKKsOBIWMTzJPJz
IaMMlJcza2vftDQHjlKBJe3oELZVkD6NITNcNQ64yyyKZ4UDVsHcSNy4t3hvwI6Z4JBWVuzlWgTJ
os4trgtfi+OZcn3+Q6tq5uu2rnC58Cmv+MrQHNc5SwgrmRFYSVtkfbcsIKmQe7PU9Vg8c4q6z+Yi
LxJ/3kVm3C11CBykloG7yLdYa3TRIvczX7MAVvxFS+Me2XCyO4xt+E/XrqJA1wqY8iT5EsSxiE8J
xCqiWeiV5k1flYTMA01hdO41XsESyTzslQsnr9PkFpQxOQvcHofzKgUOZqqM3H7GUdsLiwfgDF7G
vIOlrYGo5LaDUHWWE8OIbNchbgUeYw1w+qwA+yTpA9JvopAI0+bAQGyTLvayU6T7dOn6LIQwUBhm
xPaV79g9BCoMqTV5Kq4Dp4EICvGzoIfcfNBr57oT0TlKHdcAdgVLZ6jzenXq+ahxIU1BvUYOv5NI
+CKB5eOSzGobH6JVZetr33K4sA0ioj7IEV6hPvF7X/KaauSuixpcrcxUdMpORFZeGlUCKsktWAgE
IiYwW47voeRrj6LEO8u6OGrnRWP0/jkq3fKOBthYG60TO5IjWLzzKmkZmRVm7wPzFQpiOyJZWFi8
cWY+8rOvUdOAZRG4QX0LNQDN9zT3yLJmjevMeGjoWCbcgXGMSAXtPMlrtOrblNBPRWmgO1Rq8IvG
1ApuQQwbIvI1jgN/mbcYN6cJcwt85WtMfE70bFicQZAVCxYVXnHddrTklp41gI0HAZvYVgVsuueg
wcRnwnVY3THskrkNTdNadQoOk4Ovg7wKwxvME0FPWxo01WXZloPx6XXttRFqZgtlGTE8Wqm+r2WL
47KHXDIbXn5gvYH9CfhKY7SiRgJvUWUGTJUXqrC3RFiD6KQRxDs+JTkDkc8rsApc+A72VAwhtKsM
0S5PICHgQVjMa/K2uow1Ly2kr1dZO291ppNZV2d42DRAmCx4I9hAWoEGO7lM4s8QLRJnvPZ9Lrln
hLAuOtdcNwkBNto86G5I2erFuQtmbgDxgyQMbjloi0WR6GiVCTf7CiFaM5Me9Xx8prgrqnPHU25t
dznLwClnHVmkGKbV0lnWPYRRaFy3VaGrZaZ3dfjlf7P3bbtx4+qarzIvoAXqLN0MMDrU0eUqHxLH
vhESxxYpUaIkUqSkp59Pye5ux52VoDcwF4O90ECAhl1mSaLI//9ONEEDULIprAaAQLyuIaznADQD
mHFz5sxUbrqgiR8sAtixMV0JHt7DMjcPht4yoeQxburKz3xncEoseyAeE02d+ONQWbrMudPiNVms
wo33Xivs/qXBgjwfcIQx3g2zrth55Vu4o5MGxYFNxvRHexidIC1ikIbYaV1NUHr31dMQ6/jemlGm
H5YYDM5XJdtZAjazQ71nxlkJoMamS+qZMij3HR6LSa0amN4CHFmdpjnkd5UGbR6FEkT7pP3dYgI8
nJrYctl2vBbi1AaTd2Up4omc9m2jj+VsOsArPrioe1Qi8iuJWywjWDqlTmoqDWBHo6Meu8Dc3/Gy
t9knWyxupJMFFdj8oVOuFeOPyWLIaWjV5cEqOvOFlsTSoOlkUO8ZhFvgmKxi2Q5jL1nOlhGTlDmq
ci9TzRf/ugk6zpO+0yQ4eTb1pnRGdSNzQzs8NRO1rEyGJWywdkjJc3typyHT3ImG7RL1mP21N5Vh
NhczkcAvZNA/GH+27ys6YK5hp4s/Yq438tLGrY0F1uniahM1NDAgWB+daDSRndS1Dj/4TtubzPil
8k5ewSN92xcyHrC5Y0bnHXPxNNE4zNMVc1UtrsKho+7FmQgPQIYKQEJsmqzyVA9WZ7JGFlgzUI2N
6sR5ge8/xHW5kTSqaWYmQvZz7+G9n0HqgqUs6P8jjOTEngchxat6L2p4q2n43///KR8cNFr/nlv6
M+DzLQbzXca4fvAPRAXqBti7XLg2vT+UhX/SSzjdZT3pAZJESAERmvcXovKNk4JaEAk+CPDx3gof
QC8h35aAjbId/5+gKeBdf+iMViOSD7m7FwG7gTARh3T+2HOEXJVR45TW2bZ4Oipmp8RbXgpDywRg
YwApGtn4drUZ5rLhW8K64TYeGuvGCbXllihD2/C2LOMmSmJsodko7eGhiFg4PwPHUEkAPiZxnNnb
Vr0SEE9ECzZocJsSKswtIKMBC7mJ0OQwbIedFW/APX9qu5o8lz1v0t6Zuo2gIc8MjsdLdKmDRAn8
rhv2XjLWzvDUrYy8U/IoW6j2D6YND1U1uIlxh71PGyeRo7UdnfFLMzkEzcBAEx63TsIdnUfWfIK+
MwZ75ec09vR11JJ1+6vKPEYSx3aYZ5rMbQfMup5Ugi0EDWNc51HpLACchy5fQGgDGJcXNFJu0s6K
P+rIn+9s+4F5kiXSqq9ZX9IMbd9NtShsiI59mkklksgw8EDds2RmE0RzuZbzCsWNb/IwmpatCg07
tKEFpsVl076eJcml37t1gm7GJNFEBO5Z5CR4LNbZ6xnEImWcVEq4qWLeoffAYtRaTDdLVIXbVnr1
zaTJWXSU7uLaKtPCIvgQegK2sSws0WhEWl6jbYDEbCgoNC4OiIR8mrwok1FoDUlF6QJuq+2KOx/D
bnVVdSTHxG73qHf0tpGCHYrAik7MM2DJVFyc6gAfbk92PxY39kgf0R/6CW2Dz+XQ+ImR3MnRDz/W
KMryQnWvJEblrqzyCuR+k6B0PXNSi5TOzStd/Kx3S3WeG2+GmtVDVz5EdRqDTAR5EOwH3YcHx+/s
VFfzHa1mPKam2XoU/8RDlNqTD8rHm40DycjYGXwB5YzgZQZtHO+Ext46zODfbOFy9+L7ssbdJnNJ
ZDKBGHFQHWddxdXV0MckGzHRzlqYYDP0fn8MPCEyS4itGICCVNEybl3Kn7gOIQia7HS2JnkwE9QX
XJf2xveK6LpG5WA18VfHkldB1dyIcfxQWO5JdsDSE8fqrmeLzXtIFyvIW5ad5RueNMrn96QqUHZG
L8qajoyHR+aFVzMVcR4CiOmnOQ/Egl4kOkdze+U3zdOiraNvs6uGRmXKRr84tVEnM+ydKH1peYe6
sNz3lO8h79jVPR5SBJSjMwyIQBUWiVNHn8vR4A0M2BlyCNSMbQyZjdINsMw+tQO+j5WfR7BfNkOU
GAFuWUSv2JqwtDQbbMCbDlUc0VJAjkRuO8hhaVftQ+0dYzOlxlZzQpUPDGDiHyJOzo43fgg0iTBJ
YxGcC0hAD9Bkvna9fesv4z4co8xFxxYAJEkJnY6+BYxJ6880cLfBoHNZluhR/egi6/Y2Es7XGP04
CGT3RcXzrWdNQdb0HeQzy8aqvbTDMwa8xVLPVknZ6FQvBAxZ0Twv83wPsLkBhVjtITW8LGI6N1Gd
hNWqYhK7sBEpFlKIw3xy07TTNSQ5qbPM+7YYM0AeCV2s7QKRCw47T9Ea7QI5bSyUAliJ2HMQjSm3
up01xqCnwnzuxLntSJS3BOSmcqqkGsuLo3jGdLmboFhphHUFphx9Jvvcjw5w2ilFi/OKYwLTApJm
CBfSQvGXgb+IYrydFPCDiIDJDBJm2k9+H2ZycTOEBMIFMKTAWs44Tg5tZLDxNErWcrr1pvieV4sD
lRGXiTBk23hDGqP2TFATJ8CXN1GM0rhnkGrSzdzzFJUJtMkT+EpJ9y4EXNMyfCK2Oix+dBcE3aeI
ytsSBP/YfAV4/tITQlM+2Qkgxg0LOtA9c1aXXk7JnJYuvUFzfRLavYUi99W21Ko+BcoUJh0hOyvW
u0haG0JRuvriCl3WhwHfNCximQR+lxeWPkoybvAqXss42tiuPLjFjAH7vOxww6YWyp6+aBPPc57N
KD7hT3mbqXCzWXpdijepz0IUynNrPkO9nbaRdeRK7BcrzMUMsEoP9YZa2CRoB/oxpnOdjEG4dZR+
aMb2SUGFPHfhHgRC3lGvSIUadm3k78nUCCgI461d6U9mIA9iqG6FZW8Lb9qwYsS9i/OyVbtQ+Zid
4Vb7+qYV/Ngtbaqt8Y6zcBdNxblwl33rNQfwuido6KKkHdkGbcSlK8geLxhE0NFNNcRXrj09dgFH
60PGFO6nD8UQ3MhBnlvp345TSdAEy7vR9zPdiRbVMgAqn19xvzzwqCeJ4eVpWBeqRXyaawXgy992
qP1HZQA6m1Satehpj0XXfhi6+WA74mg5Hj1bBSm+lMCa7qREYQ7s6zAQkizGpFrV2Hiqr7QMPlSq
CfeQuTNIGNTjqpV2vBqiO4AEzP4aNFYCVf2neqB7RN2dsd6ynAz11jbyiI4e7yUHB7QQ+5HCB7CJ
3fq+GRR6gqne1q59qeqoAtzQJa0w7gai0l0BFMM4VoN2QqQauH0IZj+1ZyereZX7tL1MZbCtiukw
tfPXzuoglqw+q8FPOux/eAMkADYd5uNY5gO1oIlGhVArAEocm8QUtzttRV+19jeSkW2pww0jU96K
DuuPrKaknJbN1LRH0MfHQfn3wgfbP6guhdIuUQw8PzXWoXU8zHWO93RJBltAo6lOi2Ue5dA9j9GQ
l5WEFJBPJ/TjUK8RbH9vStqfcFw/YuffK0Tw4AEYlhDcnv+OMIJ0YBhwrql1Js2OQYIu6luL/k7B
/yOB88cggW2D00Npu8abvIW+gboRiJRs6zxFXwazNePjJF5LN2s0/Q0X8LOCF7qtP0d6x9mIQsz2
UmAkJ7qm3px0ISQMy14EH6vxiYkg/W/cPbxNPqjKVcL17sKgKx2jgovyoq0nNR778rnlz78e4mdX
hGoZxTKGWQmaH+9dEYRQ/8wdvWgvrcx2nOecU7gHyi1boINRvzF9/GQ+gONF04JkUW9l234cTreB
dGai2AWOpoS5fTKW267+zTX9aCz5Nh9+GGT9+RsqRBaW8oMCg1QDTDHDVRXT7Nd37XeXsf78zQha
LUoPsL9dhu4UmC6txT2Evr8ZZPVy/cWb/f0y3j2arp7rTjeSXSbLTaifxuziMSAi4SP0ZoE8O6P8
zYg/uyyHwPC1GpjhWYeS/u1l1TCSsbay2SXsb3pSAqHbh8XrP7918JSBRwbpCa7/3a0rfNcKIj1U
Fyhs8yYAcixSwz/8epCf3ToY+CCtdG03BFn944UIQ8OQsanC83lsgyuKTrHCYhAXd9V49HQPkuDm
1yOuc+r9w3o74ruHRWMUs509VxcyWaADHiAU/c1i8Dce0ot8HFlh+2saDLQSa7v/9ulI4dGaTnZz
qa6Gvdpj8zyJ1M/9G3rrp23ONlFqbX59VT+bEG+v6t2QVJNmUp2uLjqQaJNZ4oDgc8Tu16P8/N55
uCXYORF88e5pBQtksKoh1aXoY/CmxyhSv7l3691//3Q8ULjwgMALArPZj7cOHB+zZ2lVFyi1kzly
UG0+Ma9Myqr6zbX87I69HendAoeOWAwwq1QX23+h0Y1f3PXLb5a3nw/hQ6wQh3iTwndTjUGGGHlL
WV/a9uyPMGkwJ3HG4Ddb3c9eIUy2P0d59+jrQVM1lxiF1c/c2hUupG0eBPyAdNXFqrfc/80z+ttl
wWWKpGEkW2Ersj3vXangxEXYNaHgF6W3/fBkgrxfbv/hRHs3xDshRKtL3FDa84tZWlD4ZTZDO/ff
GeJbCBsKHuBsP860apoai6PTukj+bC17CAl/M8DfpjKuIYJvEu8JgDfnmw7gzdaDpTOESXBpLqjz
mtFPabVfNYht/PLtQv6nK/7XUwnePNG/+dH+D4e77uvn95js94/9iclC17+eLxSBaI1Q2WIq/4nJ
wowWQrBGXNchqHzxo7/MaEBpV7MpXNUeBHL40R9mNJxCh60KZzLjqDmELzvOP8FlQcL8sNzBjAYR
Ms7ZANMDIpjE7yX/0VT28RjR8Vwx1R0iHnunoZ2OUcvheRyHj0HTZH2l6l0rQr68UCF76walH5h3
qHlB+vKbmHYtBKjzjSq9g5CN2PQcgKS9QF4Z1ra1ZVzDv9nRTVlruockgKRlV0CTaWRJ01j37aYJ
Oz7ezWX3iNZWJBbC5pMQvGyVdo70DnqyloMPCzYt0jma2WHkdTY7hbVT1vBaxu0CoRgptrMtIFmx
63jPx1J/7JC9cXRYUJ8it4Uig911o0u7PGpmsunsiGV6sEgW6riFPxYgBefrAhnEIHHs+FiHg8r7
0k595aiNP3XXkU91ol04dzVfpsQqFIhe2hoYiuS1LdEhqbZ/HOCwnW2zQguZI50T8cqjWRRNVNWN
CQNBBYQkSs0ox7zFE4bm2lI5BitfCyOCp3mpdLEB0EcTKFUgIqDS3sXDeEtr9y6qSDvuu4Ba6obZ
bb+D1iRtexrsen+W7V2gCLAyOhahTtyw8LaubTSU5oX/Whej2a9JVtuxretsadrLXMnrwOsOLafX
PXGOkbI2QpqDhXJLLCCA+jYh1ZL6rPtqWueWqfjxP4vH94AJ51eLx/eAl/drB95HfOqPtQMp29je
sDysjvcYh77+tXYgOAa6LeS1okoJ8NqiV/tj7Qj+hVUDu+MqoMXhKmuM8x9rh/+vVRa7HoW1HroR
QFf7DxSyiAB4t3ZgYAjIUDqvEl0c8YFV6m2VWRY9ATcrkDDBBUNtMT4Ns4GvvAYESPSKAPEH3y5Y
OosCcszIZD5QlHRo9QXw/T6EEzaRPnQ4WAIyabEjHavTHELOLhx2B1ntV03gQ7LEKkmyDATfxjmJ
pW+SgkCk08jVQksezBI8YZH4FPclrPVgVzYFJ2MSW8uGe5aV94ZSwHlWEkL2nbCu+uhH7VM3iw8a
dH0C9rxLiyD4OPRq38KDq2LroWjnIw3Cs+uyk67pFbigJykQnsHi8AI1C4wpZZQ3uDB4M1mwdRxx
GG3xiIVlzj2IWvBn19gNbnZRbD7MTgcERZmN5y0qc1YYyzOMJzWAmx5sUhbx4Eoqfm/apU6jEqV6
Hd0KFn/tZXxh8PzAMADihpSVygtjIM/Un0jdPhdKPBa9c5aifUYrEKdjPZT52JpwJ8PmUnbxjlGZ
eFX5hFJD5x2PuszApQQXk3g2dnyqrVllDYQECbSSSzZ7TbxhvQb8aodXStZgd4qrtuTZAk5uMwuz
IYM5lHG8Kx3/dl70KywiL2Ez3Lus3AIl/NSUS5OREF8SDykmA6gXE6JaJ1WfOIjxuAm0PNF4euVV
LDJQQ1tBCpKOQwUZAXEevNK/9dRcZBGr773SeYUOQe9ntn7cH8eN546fGmvcSQHdbeAHGyjHWAbb
QrUNAv4ovKreON0Il6ZPEgYHddrbyk+IZyXBUm9I2FUJmqZtr6hISjTOCXRnc94oiO4cP8hGj8G2
ukSbgEm5LWR3ZEXTH5YGaNtQFSC/zHIbcn9rWn8z9l6fegtUzFCoDAlRgJjh/qwyPmLG+aGxoAHD
JJ4lnmHjdJBbDMudKKEsHNtoUxZ6AwXj3RK5B2ZqF74z3iayL8qs5KjV9Fg/KzF9grBAJWHQfSG2
GAAtFvBOTFNiCNsF/QB7tkV3BI6izArrNiXA8oOZbCGjGlNJrHinqJkTV0cvTdVfRRMolU5WXQ7R
1z4oZ2xTI5zhZTPBT+QfCgfxFZiNTRK46osc4y4lgx0k3tItl2YKnKPX1m0Gniou99yJqZvVtXlw
InQC+WBJyj7iNhTq7ChAnXnAfHcTFA1p78MRoHbmqW5xIf+D5Ci1oya8WAVlwQXwPr24/VQ+gjDL
JccUSjxg2dedlCAbgxH6qCkhfrmjYQwWqSdWWsb+dEO4BbdUz9x8CrXrJ2PEl2yKAtnvx5AUQdIz
8L4prPgQmMnZTW3Db4QIpn5LKtf5VBtC4L5puxHrDKewhwfhMylHGAnrYB6aZRUKxqvlxfP7nDEn
LO8JhJny0Sl0WWTUXRya9aQJiqfaZ9Q7EQfcNejfaey+tz7/02tt7FXoXv69AiJ74f/rWgzq5e87
5vrBP3ZMHM0K4APGWhhDvhXcf+2YjoeoNaBIUDjEMapqbKb/tWOunhJCAKJ9y/Ii0ED8uWMigBOq
NkjinTWtATDkP6q21/3wL2jBx25s+9jIvyEyLrrWdz2lKsZK8qV1Lq2YdqRmV2FZp66e8zd35vL9
D/6QMBGhZngzEK5k7fexMdtuDOQMkuIfN2YIiWs/orUBrwxZk4JuzcvBYh4aBmGPcMoaIsrQymwl
zvE8XvV1B0MVdMudVCBHIcfN68Guj3rw4wzFLjT1M+gSywejUJjhk5FdlzYRRZnpdkVKJb/rMGDq
dPwC/xb65bCFAKp3eiQQ6DJ1w8ZLmiU69s2UxhUZ0hZKL/jSgp3r1u2mCPQGBhyVjUtsZ7KeAJZ7
D1YUnmJvjCH4cD9Rj4M7mfw7CNtvrWa6tiz/WjECA9dKG8OGsocwDda7BjlAsf0BfnqO3VLrzKEM
ZbRWN9C3bYw3PsTR8OKU4VPZzI/DglSMegxbBDOxiz8UxwDarQ1s0rsgLoatpAjhcIfhAxI7diyC
j5ZTeiSx96U1tN7ohnSQTM8s5WLqMgvxMQn3RLux1fJkN6B1F686e9GwiWYO5WrnZn1QP40h6ENZ
nsTUjImw4bDuxy0O5NhBMGclSkN0bOD6Rf4F9MXU8e+sGVlVjUKCRRg/xarJCZKZxp7CazR6dYIJ
kUWrmRdr+rYOx9doRv8FouNk6REUYNu0WQ/GwUb+kGOgfATnmBhqs01t8wuEhtXGdc12abxTWRZl
omxvG6P0ggQUMUFW4Ous6+OnFkq9eK5vRbvMmbvIjyywl7SE6CxxFUg3M+4RmaWzwSXPBHFmSWnm
j5wxH5Lw5exMbZBIWmkwfsNXmztfHcNhJpjsneDxPgQrk9bGbJvav2ngIJjgbroKXbCQAW+fl6r7
REPsF00g7gNEgmVeH9Y7M7rbEN5jB5EPUetB/oYpRpMJoQ/Q3tH+cwteb9gskaXm1A8mJEeRqYaf
enYGCC4hoWzXSmVjQyKT2P0wHTj3AV/OkCcV9n7w3K+GxHvm2xu9CGSprDj7xxoymRpXZ0PC48PH
mo2IRMnqytm7nbezdX2tSJnPUf+5CNitXVsvOKO0TvpY3gjMxvvZ0fdTKRUkqCYTprb3VuM3eWv0
VTRwKDuw34GjA/8qNVs7WfMYVKHMp7I7lYwUqUTKRYQsJurJq66qM63kzhj1CXaKKpli2PIrAkZD
QBGDV9Zt6wt3/CO3rP3CqZfQklLYaedmU2n2NTAwSVSmcqEwtG8hAN9OQr3US2mQhwQyFFy6GfLm
PtxTb4AS2NrNQfh5qsjT4qPERdCbRA38xL07beRuHsdDJ8qErxqedkidDSEZanIFWYKbG9fbaQcJ
WTZKL7Z0euuGldoQG+qXUntPrWdDjS0MqkLwMZ7ptqPdnlF0Pg4C1SGbvY+wsUWnzoLh4B42mbSM
YOvfIRbE5r9bRn9sb9ZVFNuFhyYHyCYs7fYKe76Bz6SUrlfMwXwxyOBKvG1xmO7EaV+pxPrcPnR5
vXfTIimOXVqNWbV1979exv+O3mH4GOeMQ5WHsvM9HzoUo6+tYFwuOvzcFfuYKBjrnyzxuwC/n43j
AEkNkVMaIFH8HXoLIQ20OtD9XqDYgecu4fwFZR3Aid+gkT/uft9vJ+4n9kBEKEEwhb707e3se6/z
R5uSS+Afh+DcuQLz9+HX9+wb8vvXFvtfg7y5mHeDjEhzkE693rSN/EjTOtc78jXKYLwXpwZzLLkd
8iFpNs7uw3WU8eRan9jmo8yL/KY6mGSHKKYrleEXMyiHMpF//PX3c36E275/vxVnQ84zhBWwvf54
Ezi8S3Y7E/viJ+U14ihycrIfygM6Dysdszk5PNrbKb3uN2bn+2lzpIl7AwnAxiT8P4Xkd0Us+SXu
Ak/LT4vIN7AL8sPAlKxHHhGke6Lye1NEolQMbQCv+A8pdSu28kcRSf6FiY0ElhinaXyPYvkTdllD
fr/hrIg0CEFZeP8EdnHjtXr7a46vkC1sksGaHAZBLZr69YV+sy7pbpIwF1H3LCePpMuk92b2+syu
XKhHg36D+CgEoqj5IXQAacrSex7c6AoytDrzV/9ANQEVVAM9Krjtk5a0Jws1GbrWbswmqa+nIZBQ
dQ0iFWL8MsftI2XYzhp+W3vVFsrTAxas2x562KTqZwAtgGiBlzpXLfbupLTCDxIiupTHjYKyv/iw
iOrBh20pgf9jSoOpOfule7bB2sS9OITItqj9xd0vGgl8UNpGqabTFhbn3Im6V8DGt6Mp/UOLoKZu
Hr5EEJLGckEqBoRNtQPdrQuLUBJ4KHLWapRMYkzDjn409vhUT9AqgArdIUejRcuL+JmGwmumtGpT
1rnXNRp7XntQ8Q7Da6+pnUyWQE4Ej86sGbrUlP258nV3mBpIiEaGvhz6uxqOg2HFNsriWgZi3eDG
BW2mt7xGDrZ/7YXPC8PN7YqG3jgQ+ydUDi8U0OypEnzvxxbE9k43b2kro7NkU5OjjMFTG7E9D6Uq
07pB/kxVtlB+VXawZXoqE+gM/Z03heUNKZFWsXRVmfQlYKSmhUQa1j7sqY2LhLaZV6isJ55baFa3
FV1NuwssqMEEvR0RAk6Tws6QxYDML2iHNx7pio1nXJ4PQEG20PWiGnGrK8DLx0VV57q192D4low1
0WuxwJdYoaSHTIlBvzbOVW4X4byt19Q5UiHTpvfsGXh2H29VFZRJNQ3jNnZg1GjKAS5cWJxugVBF
27HzaY5E1WqHYKoi05q7SJ50rRuOLgodA660nwLoCCES2EQlAjyq2SBIRZTQSME4BaixZgdfSrMt
nbWukpdxJG1OLQg5heq+CI5SitEAZj1kexy6WLoJ0t5gNl/WW8Sc9slIv/rQwiWG4hRSqnmEs96Z
1kK+aO0z2ig4obqlgFtiDfYagDtFBhYIajwEkyAw7iuiXQF3Qrea67KxdkQhfs/neVG0MSymsIg2
MaLu0JZCYuxVCJmtTJQNXcPTQFfBzWJPN9U03gamqXPpQFKRcodfw2eqdrAivap2+aJsTTeqQ84R
j/lwYrCVpC4UpXzog30wm+IqsEK9jYrWu3Ws8SOLhbIyosap2FJnsu1Vgvxs8K3CxaphzEIcj4xo
v4Xi9962jL2ZoIyDXjY+tI0TICJ0tgHKjqg95apcWhbYKsucta11sDyyY677QctKpeBv7pu+OoRV
ezGhTC0rRHTfUxE6x1EEGvo9/mICdTUBh03aAYb/yIzmaoSncBfHChm9w1pJ1+TKwWi0o0etvdce
FrzUXviJGGInOg4/LijuE1YtUaJk81WGsFXDdbkX1XwDgPxq9Bksv1S7WdtEYgsdHyTDmvrZNIsp
0SwMkYrQ7FvpQGopXX8zz3iEdt+cR6u841PxRMT42HlYHiLSIUetHo7M2J+nOghyWbtw7EpRbuzR
BocEbLD2hlxX0knCxW4SLvVJRuZhRA2XhZZ3Qf5RlIgGUvXI9/GbilSwEHCddkocx4rs4NZBcY+M
4IqI/sxiqJErODITa4ozNQ0vsgjWPB6AmtQJHkHbNH4u2unUOupZeOG+Hf1P0Ar7e9Yg8GpYvsBa
DAMtUAVcNN9QB/A3MloyHoTXkKZvaSwsIOAIpIktkWhh76w+2M0G0YbOKrpm5gZB01fckahoGf+i
ongXtu61XXZbCxmNJYyzeKbI77Lx//5nGjGWSja+ShZe4MRXuRbzXjUezUfArRb0/zA7WtgLIDZ2
gaQrftPEABzQ/ECzmNOg3QEKbLOxYfecqRQIL1DNQoZIgll2RWRfMQ68Drp+GTsp6NOXYmznBPuY
NW9l5Mjowpqap2XQ3hI2DN9L//+AbB4Kln8Psv11kMjfUbb1k3+ibOs5Usj28HwcTBNAu/CmQFpj
7JCrCgGS66+SkD8LJDdC6YQjwlEghSiqvv3oD14KB4vi/MEgBjQXILUcFc0/4KVcd23MfiiQkACD
mD0kvKLdgErkXZFtRZZbDxMX53GGD/1UOZ1fXYPIqpxcqYZfQvAbCupZ/9rv+stIo2evpCYfnOZe
21zg1Wmuemd45LM4cNneAjXLlOWIxK0QVuf7p25CwkQbYtdxNTgBWUM2Zh6Wqn2JGeas0A5c5XUg
bvxy2dgNUsLoguykgtaZ442Jy1V1UuitJwTSAi7Rrf3FQRrYhFwAvjGljuw9QhwGdnDqQJVbcOgQ
5WJ1DqC27FxsvyBNXHAfutuHLGy2fYisKB4t3r1bKKxsRWPQksZxSb2roWLysTIFXjbtNs5Gjxp8
rhqrYyjboEKZ5kv4gAbkI8QyGpAT2oZ6yfuhJH3eQPyHXt5MX8YAjn3D24cQXVwKOmEb6XjYdixA
c4rsutD02McibjbuKE6sID08LAqSYsogzilQAMVuLgr9wSHFR2tY9iq0bnXYpK02e+RzZojnupqM
f451ABavC+BidW6BY33uLHFEHISFDX08AaqDGx3+BThGumSI7Vs9WntEcuRt0V9HZffqoLxrLLOz
mTrAVrsDS3kFgcB140zXoxi+kFnexpTvnCr4UMc6oz4U2nZ5DqiWCUK373i3JMAvM96RrfHl7aBg
/ZjMvgq8hyYMEkiSPseRPPAKUFrUuP+XvTNZjtxIs+6r9AtABoc7HMCyYx45k0nmBsZMMjHPM56+
D7IktVTq+n/TXrUoM5lEZmREwP0b7j3X2sbej1xASUv1jRy67VC4e1XOWHuaqx81dx54ILBeFAvu
pjTENnfCm7nIsMtQydozKBd1aEbryzwU1x4DBpXsDZ8l9L9hB6/nJvaLm0Z6wPNYN7XtKbbjfanN
r5aNNTRqryVLmqBAdb589IHjPakabk4m9q4eAdjBre4886ZjRTFV8U2trfsKymk7G892KI8s4fiE
u2JTJtmxETig0fZ7fvUJAHbd5+kXvAnPhRk+tKGx80v7QmL4DvrWjRn3IAkncRnU+K3nRWCOEhtK
xQvAvBMw5TWMkUvgiJ0RjedhDI9oQ3D9TvVn7VgPvTc+1FPirfygt+8du95HeghvtK+uk21lt3Vq
xkfOeEQQkVXIBdfI+2WP1S2DTSB2fKU6DOcp7Nl1hbB2UzbexxSMNzgeIJTJixMF92PV6s1YovNI
U2cjq+prG098/aSG5uHvxwpfiyH9r3OdXgdvDLHadk8JLnxpSAevbttsrQIQgEgQ4ssMF5gR1uMa
lly+tUJx9ZV6UHVUc+VlLXUun3gfAycojX2jIIZA6j2UYWKsjcaJd9Uorm3c7RM/WCA0jK4RgPDt
4NOyLKY7XXNXYZpf56o5s4utcaI15zSLbpWfXGRl7IUc0MFWN6W1YCir7HupMj6M2dhYAxYndpO8
Wa2+t1P3COxNbpia4RVMfGq+eWzXRtytCxOkL6tRmreovGRR2uElMNaZVby2qAaYjDK2NrL5phPy
yqz0Q8uKEsGFp1/mNlt+8Jt53D/o3HqB1Hgy2Me5RpfucJSzJ4yGK3KBadUrTgD0beXaA420sSq/
W+FBrHZxN10KSNDsFqNb2A7Pve70OgzHp0DbfN+hr+QU+r2b3PrgO9ZhxdxG1vGzB8keYXPorZRt
DJcZ49w5ZL/xz1zk17kI883/fPf/d1pG+edf732Tn/rt3l9EJ8qCUIvqG+/Ekjv4u5YNFzEKQ/6H
nN5jbvnHe99DwSJNCoLfmOu/3fvuLzgwXKoC1lT/2sn9jXufZJO/3PsW6FpeIDPGxTFA8fHHwUiA
3DGOpZveGqJ6C6IW8EKXfhOTfUxFlq9iPa+buts6dsZl6uxmGVy8idQDF3iqP2TVMYvQlnRAFmun
s3aBbe7MQj4OUW9tXYexQh9MF7P1N9ooIJiI9iVy6ShSkV5CG09ab9SHNGneM02z3gn14VtRsy6N
DPyqPZ5Ht/9IOlGt3QRhGLKfrZ56eyWmfN7CMk03uFTHDR7/du10Xge12tTrtsinXV5Md9bEogH7
8blj777C5f8qITYRajJ9FKY+MUkuN9XIMRX0DfzyQAIXXaxVjnfHVu1L78804igqIDoZTBOdln/U
MfDMoLRWWRb4uNmOOF53k4OopQJ/sLKG8WUOg2vr5OfSL5HnCDCXEzKHzLIehojFQ0B0SZJbV19Y
T/6UtujiOmQDngTX1vQQoVC44HmTh0yyJfPd8guJMMZa43TtOAQh0wePmA7LrzBHXqZZDefWbZgN
t80+ZUvPgKn+OgaAJfJkn5VYQlVnFywG0Ah2kkSM0HevYWC9yIrOvouGWwM3wTZhAryx7DnYzh63
WVB7xt4ougdphB926hd7+CZrAbXkXOj3dnwH7bJTpX5HG1Dsu5qpSNfgtcK1W7x4IswfUzMtk88o
mD+4xx5maSLX68qCK6IOXfedxvbGZ+d8NNvcPIytVdxate/dKrxbp8nz18pD6Tc4+tDWU7wyQzNa
h8qbbmQ8c2dHRTYgkna+DPmwcaIsvMqx+IQWYR3MIvAqpnpuOK9+Pt7/9Dg289D/fM69dd/e/3rK
LT/z2ym3jH+Z0aIAQicnfs54fz/lxC80PKZk+Atl4U/xER7/xlOMZgG9/NoT/e8p54Fp4QFkLb9o
gN2/1d0sB/CfuxtMCQ7iPTR+bKZIGPvzKZe2NR7vYjRv4Xm9+l5uA52Wxpm5TwkCWpT3doGrnkQB
72ZM/GZXEHiwbhHR1oUNEzmHUBlBhbvUi/NSuUm/aga97wesnu5YXuvZoL4xIeu631llmhsrGw5S
d+CX9HD0gKxGTmluSsReXQOUOvembO0M6nkAzaqiMH8iqqdD4Ft+14N7LrryuRZYXCnJyGsC8Zou
rNdiob5W4F/HhQMbzEWY35vSxaWq1J0h9dnXg7dtB5ad2WD40IWRJ6RpdTf57bvTBd/9zB121gQB
P5jK6gh8CB5vYTy0ELDvFi7NKtOUCqlEfuZPjrPxI63WgUG2A4SYO4C9LII8+dFE+p7D+8ZtkQlQ
qr1GlnxqC49tfmx9ImsYt5yczzXyqKhqjh2YMAaT4oD/5AOFIrdKGB4Sb7wH13ZttPWW5cE5nr0n
QeLDyp6BUdSW+VQ6MRhxPoQ2LNt1ynBwbbX2+9Q145px1itjMUJ3SqaQFQq0QZl3bqrEJvSj+8jr
xcrIBlIOpgntBGXWD7MuT6Ze2oTo3DMOPcq4eeg0m/jRZm8/11mzdjTHp06RPZbpxplRVVSG0VV8
YBZzLmBbTUKcRI0tdZlBe8s0Os2BPPQ6PjL49a4BI2urgvvjLYNYA8buao7s794y4a4m60da2JPm
bFrm37Hl3aTLTDzPa4rNxA42rZ0lwNMgWQdJcRsu03STsfqwzNfZvpCtMxU/smX23gjEk7V1UxYl
YC4KX1yppHmIZWYvbGMPZpUcI8b5mrE+I18AhbjXKyvMCbnCItoEvLkpq36gO/OLw4JA+MU3rjS2
x1KdVG7ci2WVEE7bjtUCECh3nRNxtTbbWh41CwjgSqcRooBiMTGJ5BaJIUqV1KPbY3lhssSwM6M5
gJQHD8GCA6m2zcu2Lv6y+zDcruPGzJjymeZDxoIEUcq+SuKHiMWJ7tK3way/2ctGRSSiwfIN/6NO
uk2thyWTKb/alAQrWxknJuBqr5ctTbfsa/LAuZiV+E5gFJscVjrlstvpRbkr8dTTEc8VRLv+mPiz
SbNm3gwpSCPe661ediG5jir0PuUr6verB6xeu8UuDmVDApX/vTWHHUP6jNizAeSVUxTrBM/bOIFO
mDzQ9/lkf7SDfR2go6wygIuVX1usTTIYuORMxWHz1Y2rcwapWSTzizCae14fMI8ljmXwrvWYpxte
8CaY+2HjCWT4FaLFbjYfGk9+nVqvvA1UmK6j0RhPQJqMIzdhvQEQd+mT6lF1xmdYJg+uzu11mdHr
rJT0m6Pv8FvmOrQPgDm2tV+xfpdGeswy6z42rXzl4l5F9NnMQOwxa2cFX+LJZQCL7uc2LvBTe0OR
Ml2FQTIGzC0sfOK+bX4Hrxr/00/8q59QlP//+Z59DN+b9v+4aZef+sNNy7WIVs9CX4HSgZvs95tW
/mLSGXi4l5DN/RSx/7ZoFb8IqNH0EgzHTPdnF/LrTatMMpzgtnqgck0ucMw2f6OfsH8asP40R+SO
5bdgjVnYRZCM/3zTWssfXqZ4wExifHg8kUQINbz0jg72bWXcApwjc2iOrknKA1JP7gGNNu6SmWcc
mP5n0UVXxPNPKslTJG+Vu5kkYIAmQB3uyoObdjvdggBFAjUwc8gydjODAQNRirfG5pSMUNPLMdxC
lX4PHbTxbffJOGY7MEuDWxOvJlGSAqS+o+vYBxMIdtkwmTSirDvEZX2oPe/cgBgqLHs3W/HWAHLB
idpftFU8OwN6OSuEVlqraB/O1ntak+Fhmq9glu2d4/sIAqts2tciZdfJJmyldHOyx7bfuXQDrWUc
PAnrIIwf/R6cwIiIbMt2+j4X+CUbt9wxfzMPGS/ujPPWWs/uQE5NLnKuM+fWk+mHFYXlfrLsZBUF
iJ+NyX9CAEXqTTduzHxgZ9TEV5BpxSYKrGSb9+jgwtKxQVwW08qZ3C3y9VNot/kmwBnc0lucMjRd
nVvchzX6uNz1TqI3AEjZ7RUaE5TXDmjGeB/BfNx2s4GRieLbnN0fwmDjalj5/RjmGYWR9xbHgglk
SUyPXzjrDuT/etLyac6itySvNkMKYCdyEwc0fnShLz7HlfmjaWZ9iGcS96yom7ZhwwJU+PKeBNAv
YczrDxhKr2YQO2uNWqzTtJIl1ENIsN1nESdHowFCFaB+imjBplawl2PnBNIBmRXlHgFf4as/ZQ9j
DeSicPFezbLbB4GDwixnk9ROnr0ZWBqzemm9jeCK3WPSuC0Kd3Fj8Lk3jHwEZaCZlW+iiy5tHF0g
zwHMDYSLTI6cKGXlRHzAfmSGI5lstSXS/uImD71LFdkOdIiGuJAmYgpYvFVxFeH5Suido3ozkplA
8Uap2VNsibQ/VMK8syw6YYjRh0T45zrojk1ePndGvy+aHJ5IsVMamAum8gZFYe+B5Odq1GmIstHs
X+cq+mx6iwHWuGeKRNpkXlF66uIWFvUXe3LuCrZQrLf6RzdJd615quabtr/6BnxUBHzBmN8KO7+z
ev+Q2vOtQa206ad+T8gMfSNAi64IaRmZA640cV98QSN/Ta1HJ0wRUOT80jyzy7WrrWyNihSaj9n/
CJMx2YyZdLZWuTyqSfNtjCnfYBE57HSPhVGRRdN50Fdy+xiKyt7MvspqBIYUw9Ss494wRtLbRgmx
Bf7LzjMApNd05MEYtqfCT+Jd1quPzm4JXQyTj0L2r9XcfZ8ZdWy5yAh6kcPd1MWI0CLdr6dWI94F
OSZx7+VWfWZi0J45e1j1uRSk0VhV0EOz9mjnWawZ1pfafu7NxHX3IXPjfaemkmcJyvxqdMYarmsX
jGLr5oaigOwt6R6QeE3M3iU0lBuIwFP36JmZaB8HrzYk44muOA82hrLXelZWf5u05aEImOSV8ZRu
C0VQIppQlAvm/C7q4KHxZb9uQf4qlXe72qjHvWvos+2M0cYmMmnVpfp7VRQNc0oYm1msXmGKuuuw
x9aGBFOfZMGXOclhJPGfc9PbxVfshe9hXFub1iUyExbiDxjX/VqGiDJUDjTLxFmESIZhLjyj6wSe
aoxALSalcVV5fW/43ZlV8tc+Gn7MhiRLjr69ESNVa2lDH5LjKZyOtklgDIOX9ygpyMjxyeGwFkWD
FoSbtcOjaTEXaLyLEU/AyKwfM1IHjn+ceH0GfTXa4Gq0phExK2tiP6gfkpGjh/HAahw3Y3pOwSya
SWpugK2+D8F8DKUkpRKY1LqK8CXzZbzRzpLkY3vIPgxwedyYm8GxkWqAQZ3N6YxBwl/zLpRsdDHz
NYXZ7qXqOdtVuXG8yNnO9cSz5BtPLZ5AO/hi1Y2xSBUwNhgIbd3EG/jDa4Q+RKJIhklojqDgySEK
1gNekttsLNkgFcOldFtyUN0e6a9wbqE/XbuUFc9Y+rfQOsngaIgqa9+1N0xbuojHiSBAAtWQjfge
F4gdgyTrQFV0Q/6FQO9TbCS8xm5+7Sov3PHUKb4Dc7FCusmMDpVq43nPHNA7snwvSRZCbQrkQcbF
c9VHiBuckZGdeawGede75YNnF98iLjr06eaNMtuzsnnuiC3y9/4s6rVt1sfA6LkS2iHAa+Sxt0uS
o2dPLkRA0lZdq9o3djSsIe7dJlF3RyWyYyn/0mfiAHGMpLkO9t/UqXGbmFm/JdG22niJ7+yNgH/r
sA8AwNzvifEVe22F7rHlDQVmld6aiLdBoranjhZqVWnvRJTPc5oX5nYquAQ5slikzMEeucY5zT29
ngYUKTVP2jkQ1p0WGEyNpgTpk5vZcbbQ0vTIfFaTrHxw+PKoVHSHw+7FYKi0M3KX2JXI54Czh8PM
QA9njXtn1f0M3JewI12M3/Mi+CLt6rbJ0TMp+X3U2GYb/VokwSsaHL1pZXT0s/LVLNyDVPXj4Fpn
CTpcWiiDzXShlg/vC9Cxc6xPL5lPQReheHFIrWnNx1wth7hhk6FTh/+U3b+O8ZED/uey+7+z94+i
/uuAa/Ga/F52/5zVU1nDBqBeXgZIv5fdzL4QFWpCw035J0c6KFDTM6WJyHEZb/0xd8UltRx5vrk4
Thbpo/N3qm7WCH+Zb4EpRSogFqElPKN/m28VpT0n9uQ3t2YqnwjEfrQa+5yp5j4ZURySUBeeYIgN
mVCHeCJbK0sSf+f3mpXm2Pkrs+IRcCbEWeC8H4CMzkvFKFaDIniqmcV9a3IDKo/flTtFuMVlJ45e
UFtMf9LH2kFBP+eFuxLFeDUqEzVAzuU6wDSEu2Wz6G6deJv2lsHtMVQ3mCueHNzqV5bm+SVe9niF
tios3UyQrdTZq4b9qgu7ca1DtGRznT+FuYvV3MhIA6ubY1XaxD+DpGwSgaJIZZ8kQ7xA1cdAZtmH
QhqPTK3Eyq+a6zyDEOaM/kZqTsyT200cg8M2r4+xuIhAfvThew2U0wsORYFWceg7UjLmLuYdSdJN
nlKvWHNTbsspfh9mSs+xrT8gq51EWw5EyfEXqnv/2NTu3UQGOUjSrTFfulacQHN+tWN9LMxYrbwJ
qZPnMEQMapQ4tOOKA3ZFSOwtc5WUULtuK1yTj0Q6zaoNgubo1FzNsPIfrGBQ954Rfh+ptZvcBZWd
SmYAIhQ7qyrgqDq92EnNpgZlQbtNkyXWLSH/qjbdCx3DceoitbLrkJImfxgTzk1z7sS2koR7uA1b
Yu2RugAOBfhe1faPQWuiaxLel8Ao4lUBTbQy41OTOE/KowYxgnyfTcmqZaoP+sfbFMtQqVx6Je7I
w2BSeOq2OknB32Wuq70nM5yBvsjNu1K1+SNWDP7gumHbUdzOqv4eMYE9Wr1xxxf83SsiZoBIOU9h
Il7rqr/WyEUhNSribwb5OQ7dZ0+e3Q7zFQFhjesfAPh/y3hEUcxaiNgBGOwi5rNYpRuqEvMEDPWt
nFEEVBhw7CLcF4NxqSaqsgZlzK4NOPaLhHKkbpqbNp55fPqnMPC/VaHjHnJJZEJsZI/+LPHKWN2X
SjrHpGpZ5NrFCUBAypZHZzu3yXGH2s91aIYnFLN6lcTzI79zuFS93WNfKYptGzBI+0nLB3OV7ATT
yp0c5bQ2ta83wldfmiKu4VsyI2uaPD81FrO10UCTF06Mp9ImRW87NsVrYPrBIQ/D+i6mnoGrW20A
4omd22UvDMDAkrYhgPJ4yUbGb17KMt/6adwBS08invaWQLOoCFdFrEOyFLsjXR2XvxseSTBO95rX
wr1K0jHHIvjbrLlDwkgrXhEO21aH2NBQAGeanbgFO5EagidNsTQ3ae4nFTobLyAmXdG+gtDfoIO7
i6HgFk3/LMb4bNfdqZDTDTnEj73Td0x7s31osHrPM5+Q2ETc9GP3HC1D+HQK7zLV3SfB8OJSfjbZ
/Nr4inUSYU6rrIhfCDw5qRGKZtM8ta4mObLL4VGSQbfy0vGSkJHrmHWxyyYXu1I9Xv1a3ic5BfY4
iK1jlSer6/LV1HQ/lO1/jQJxS6rMDSE4d1XssILsm2++bzOMS+bXNGR5pioXQGecfW0yB3Hy5IOr
sMqnIlTn0SgBAONmXZF6NCUvsovtQ6R0LveQ4qxtWJDXYUfFvxBj/2yolsX5f77CyU577z/r9+b/
uMX/ODzjFmfVzo1LIhX/xwX/+y1u/gI/kYvaE5oL+88iPCZtSPA0O/pFw8dI67c1lfMLO33ucFb7
S+aa+TdFeH9dxgPpgk3BJB/euPfvHtQ8cJFz9y4dOhF7h5JhfBiwC67lcO6cfloPndVcxo5ITWnO
fJHG7i6PFUL1PPtWK6sACNEceFDsrSdrEK2DlqtYhdUaiTxxhsZgbcLWZbtRaYZKwI7vqsD7EtrI
ZvpayvVozmdCMi61rZbUbITvBrTiqYQaHhTruXKv9D2scYukP+BKPwU441H82KfZBfIZKOeqLfUc
2GXHNsK99waHcXwdUT7U75bNjMO1A+p+u0TWErL3wHpO5vZ81bnzZfQJ8xBSvnpp8UWP/dlLkEk5
6ZNhZ9fWhQJIbsNzXqNhMgT5O/6wRDI+5Hm8E4HxZkWsxKqAMQb3SlOXF0JMX0mvv5EhO4bQHvc4
Yen+tHpn3dWs8jGl9HfabaRn5ntjytS9HjXjomoC3Jx3276nq/FjVFXDSPtPk1SESIi4etgYcFYF
8yD2dtLuYl1xo/bx2k4EoFFrvpO+/m615VPSTTvCB2imA4ClSu+mMDtGZHmsfKe5053zHEIt2JZq
eoWbwFJ7sOndhIJTnBNzLyOyrXPLwXgy37MYcHYiTE+jSD/DxYNL4/isQ3RrqP4YvBTebdw71k3q
O4fRDR6rGxUeNWWMyUpRT3G8hlbCIpKobHDk26idUb9JaGB1576GmpFbVy3odWLaUX7kqyQrvieO
LjZxSx9vVWKXuqQwLC7NdjpEJKojgYi/1bX8RML6iS8mOASVulkSLMa+Ckgd67Mt8wv1Im12okyd
KNUgmxR5dUIkeUxtQSxMuKvdgDuQxKDtNI4W+wY97d2fSoHc7trt0Bv3UTl8eHMyLP0mfCOTgmKu
FDBhSgxlVNYao9zB08tFZvkUqa7jbpRyD9ZSp+BBfSfL5ikyiw0+4a25sJT46vI98r4wHJLopah4
MGAAKvAC2lCno58lrwFBPTVSm1L3Sjt98BCuassnWZSCim4S0V7DznSptdIFMuI4abdlasBlvtRk
mid9R55vyjBy7s4TpZtPCSeXWq6lqHOX6m4koQgUMH+XsAW6a8xczYpigohjpo88KfFSKQJguvMp
HcMMZ2i5VJOasjIlBb6lzGyK+0gpxktUoK6b+cdRFzejnw7E8Q4nzyo+VJNSJlG/shAqt07SJBtj
NJJNuZS5g70U9xXrx4WCTRUSz1+ZCXz0oD3jY0OtHJGYu658vgZ95r9PS0FtTdXVX0rsnFp7ZCib
i9DAMRK+GEHymXQ8Mhat8LakUm88ZEJL6e7hRF9khU8knf3wlvo+GPneyaXkL/Jgq8a5wvFNPdEH
VX4xrNG+CpoFhvPVzdiTHOQunYTjzf5mXLqLzgeLH9R0HOHQX+E9u1TCdCOpFz2GNd9mWwVYklPm
/8rnEydPiFS+ab4v/FJD25LURVk/r0vaHlnVHT4bHqxwhgwNsJ48saVP6qc2BkTdqsMyZFp6qYT4
LbQ01X2m5Dml3YLF8uQvt7mwehjo3O9ynkemN0Vdx7flKOrX5KdmWP/UDzcoibt/aYp/6oujRWpc
LaJj96f++OdV+E9NsOSL/uea4DFqkgXM9deSYPm53xt78Qt2QCEQ2gFzA/P0h5JAkhRPkgR6bSmR
2/GvftunYWkkWRT6Bdu0X8NW/3ef9lPLhzt9gUn8zc5eOFQrf1auKIuoUWyVFvtXXsq/7dOED/As
QS9wN9Ymc7NewXcpFQ2tGkC6MGBE4UtFiusH7pJtnombotjWxIAdU9csXiPkVFd0O7hCpKzgs2p1
sIlRuhkSv/woOYf2TsruOEydyfnp81qXnjHIVcZu567B23ZbkVT3Zpi63QmfAcmaARlko9zPbxJY
SR+uET6QEGffBkIYJwtXALE9OnsmAdN+I16BCRcIomvbhDRMXV4waegMDnx7KqiKcWizW7c+C7tL
X20zzQ+B3XgbMiya955qCSCcGyG194a9Ew/1uQv78n6I823aRe0uiIJy0w9C9bdAvlX/vcBdpc4i
9+dp3LVF0u3FjGvgUwVeHMKUThFzkPmT17fOQuBzAogHJFF4nCy4tyviwSVrghsXzw86Bhbto9oV
6eCS55b25WBs6CfT6KyNnC1Y1KXTt7i3qmxrDd7Oq/zxTQ+pfGcMgOKOkXO+CzDSnaZOT484R+d3
Mt1Y3OVWZJ6DBRRBk+Ht/bIPvvFNitZmPs/vfhPOnzoaX2uj2uVBdDKWPPZMsKoY7JoYgnIIACaJ
DvvgBPM+IJnhkiwwDbv1kKxAryczLxqCaNdkLZ6HqufsZdT6RTlRekxBfUjmrofSqEh0MId+Zbt1
e9Bxox/dsMyOrdF6z6VZ6ZvRq8wNMmeUJ0hvoDA3ZsZSKfW+GVCaTjKFWlZiTo1dYWzqtqfKMoxm
3BI1WrWb0Y/KH45RNMep9PMHltoN43/IYwHjzM3sOfEzVV98cWKFDoi9zxueSHDFRH9dmmQu3uZu
NM58eRccSj7cxkHtv7pzNjzncZ1u8W5Fj+jky7uwJ3o7hw3JuEYpPAlNowRuMy9s2QPbzSYAsuas
gxx6itUzVdX9SqXy5IyDvJ80BQhtohafiGnmXRWRJ+Ixsl21g/srv/Sfs3g5Hf8fZ/F7/l+XLmr+
6/Zb1JTFX4/k5cd/O5KRTCt00dDx2Lx4rJ/+cCTDFsKeJDl90foyb/39SJZw+ghqAmGE5I0zG8P4
712a+oUjlB8z8ZHDdMGB/jckDvyePx/I0ABdm+Odrb6AFk0P+UfBdG1Ju2HaG9wGKQt7i2SX/x8F
n+vnT3+GCw3VlS6/iK+2IEdqGRz/8c/IRGF6ZTqNhFZjXAw7bzdaVlzvnGy8jphYUbySH7cHFhpv
tVGSPiNa136k5aAEcXEYXJ3aIeEX/3d1halGcGrWSV1dtTaIOVBNNwUbsxTOvG0Gc1uUg1keEmJ4
IJGhihhHckTrIrC2A7D+fR2qaksZCK5Dl5jfe31HUvACls9I2YEVs4+MgJygAOeEsc8zZqSPeT2H
P4Ai9TspItzPzBhNY+ulk7JiRGL801ZgxBDbUGWmfGxJlWJ+VI3VfYuvmxjOeTcbAvzPGL7KkkzN
MQQUx+qLrBkYIn21R1FyGTot6AGMG26FFzuRT+BiHutkvgR5/6Jt9OuurnC8R+pS1YoI1uoSAvQV
cJePguCEDeXneRApDlZ0Un1QEKLFutIkcmguplNtm29lHBNJki4eJmyndaTjg5eHl240v4U6waZZ
whBSPu21m4rPMEUiNXke6ycdk68EKjFQMtu142jvc+nPZ7rpc+8b+zFL4LAiCMVSV29InkPQWYJd
jK7ZYMutLxXzcIQe81wf/Tp6WMTy+zi3EW0YybGe0ZsHjcCeO6LJDLNHOGDnUC5qDBTw38lHbNCo
gKNBersbicdbjSLaKoWC3XBzohtoEsrqOihWjIIgFXaEqBhYQzIxjO1HWyEWl6MCGJhjYMl9z9pk
PoM9c2qvlabyDrz62CfjtC9S81Pp7kNktruvyVU9Sw8PC1tAO7ovczfDM68iGxUfMSAOFYKXxGLf
uOb3xAiPszZuWuE8Y5TapyHYOaxOMONcJI2EE2fufZ/nOy+2NnHtbxuB50YPIIxSa+8OrbWpJG+8
nQNuNPsv3PTFqqSNAd/7ddb9lbUtIhAARXZq3s380l7k5KyGFE8s7Uvj3WrEJ2KCY6HmiwSM6zkv
+JoLdz45oLd2NjKg2rGfq1mswh7DFnrTrnXZgWbJxbamu8CPBXu7BHNh4r2lgfW2mDU39SAunsrZ
9Kpb7lnisMI1vgLcBeQLOqHx5I7Ns0p64ETJuLHD4E71yBeAm4M77KMzdcvRdogInnvxUhrhE03d
M/NEliyoDxe/njOeKs84jQxsVk2sT1Xs7VONLcl1GuhjgnjmTrUPaohP/P3ONuAh2Rlon2RKhEtR
hztLlvFNpsbkMBqZ9VZQ4rw2boEta5wm/zlr/eRhZErBVj0VW3hBZElFLcQ+AwouGVvBGn45Ck4L
FvDAY3HpSzu66dSiDkpZhzRrVBLLEwZatUAQAkfTrXz326xd+kxbvxiNpbd9o29IbvaZSYOUbJXX
8GUmQ62fuvRMbYMJxLIfWhPNmKywXgd9yZZJxGe8049ZmYB7GFjI9AS972jxX7V+jPnkN1Vn4B0c
m/zkylRf/TLkzZ7LaIXB9JsCS7/S1RTyyJF9rewnk7wh3scpQRAWXGJs4ECr/PukLb51o7eOfTb6
MQsqLKSPPnplKcuvlOVbKB2HPm5/gL2/RSITg6ZkCyKH9M2Ku12ona9LPG7n4npnuACCdYhLPB65
CwuCEse3NxMOjzh1tnFlfWS6Hfclepc479966e+ZpJfIh7uvmEJ3Zc3HnKDf9p0vIm9ekKogTYJs
5I3x45hOl9wbDm0leMCH+EuA0iIaeERHwmeo8YPMB0qc6oe2nW/tRr+NoX1TkAbsqh4YbA3ekS2G
M/c7Ips5LNBM82lsc8hr6Iioh2K9VzGpY2NaRcjco2PQILILJfESsa0faaV5B1MBmCB3nlASnFqp
YR1EJry48IwYDH5elN9F0dweijhAf1ShATPJlM/kluMGENx4lTl/+yx0Lm7nHGriRmGQvnnABXxS
gErcbXRxhwQwXsNSDENN8o5veWMPEdNICLhk2L2bbXLivd5E85ivPMs7qW66b0qTl6maEwnOh9rW
X32zPPYoOBRzH3YIG9e1513Dbob1fnhnqvGHb/4Pe+exGzmWdttXafxzFshD/wN3cIPhnbydECmT
9N7z6e86yspOZZa5qHnVoIFqlRSKEHn4mb3XHgBgzPmzasT6QiBYdM10U5GunuXtjGWz2BJ4WEGq
zaYj7SVUAHHs6ujZ8ouDWutMzETRIoCCxlAYxnCJ0SFcOHWgrxKnfszVED2B6lyoqGoxGFTVodHs
AJPwmK1Ny3qN2HWCxwyUx6G0uF6ISV5NIEcWuhGlb6A57aXQyThdDpM4ETj9D3NEJJAdZ7mwqEJ0
HBCW7Es/AXO0xITFh8DlHMd3VnKfuC+GuflUAl5+E4V+Zi7SdX+qpGSV8/NLyErr00tMXMVW0vES
Kn0I3OCuvCBS5O9fQy6+f8hRv7+GRVSn3MGb+i9vQ4gOqaIbBRcqxijHvpgxTI+35Cn+/cv87J7/
9jImRauBkU4YtvoLDywAqqHbSR9cdBk28DikMOQ+rO4643LotYXV1CisvmU//dtKaFwIf91KHIgu
av7YQMhv+qmBMGgBMPoIan6+9GnNo2vMbSQ6gWEKl+TvIx3dAsLAPzYGJseSoa4/+gdaC+lcsoVm
mjY6tH8ENLV/vlZMLkVd5+fRwYChQnP9yyWJrhXKNXrcM9NWvb4DBZxi0s2nDOtKqIDTdWLyVKCj
JPpj+Q24C3pXRVBH6wOMt/4A87YfkN7pA9ibFTUQaruXGF+zifUVx+MeMhHyShRhc3JVZMkDxjw6
8PB5HAReSV0/TxZ6XCMnqm1GNrhAa/WCnNJaCDUXyJlcslWBBY8tGKI8xhAgkmk56M1NqPmPMmQt
PCBrgGqZhlkw3ieMQb0s6uZNb9ZJWTBLtpHcFd3U5idDmUCnhDEL0MjnCZYODOGpPH3EyS+CcXMA
1cdrrcz3tDLnIEYuVmTxtoqVbRRVLTm0+YuKoXmTkse9nI3sLgqUV3Eq8+mEOnJJGjcfTwoH3E/9
W1TjVxkaMBexajxfaa11N/TNA5XHCp0iLp2P6+/fG1H92xvRK3B0fvnjnSi/6/udiC+QrlzFMSRw
4Ekb3487UXBXmSqGA/RKH5kc/70V6f81gy9xkZl07XIm+33h6vwmvcr8NYkV/2YZ/AetvJCr20+P
B+5FvIc4IxjT8ivQ1f8yXR0HP0AX6xsXyVzaE91Ikekvfai3/gU57oSXgnlTBNxQSejpwpvJCJBT
WqhAc9GpaNShizDrSlad2xrLxkS6rw5S/zmiOe364os2zYEHaunLXDXjMtPDBvSJBaAgqFioxJdx
RXh54LerMoMv2zsEqDvTDC3KhSeH8dlfuGgfpcOhX4VEJi5Dqz10eenSS0UPvWZdRXq+sdKs9ooR
E9C84XZh76NmKsKT4goi6X1hFTsWTOYiSgHaCkwQnkukO53R/MWN6yvLqtRtB8MKmYS4FGqbnqjj
i7WT0G1ys2IkaKqvuh986WJ81hnxmu30zlKU8hW2d6/owZIj7DQK46HMAwQ1bGu3RpNnXq3L9LaS
ykcvWGTPjkul2Y8HfY7ilajndwL41l3RHzTmu5o9rhkebRqdLqAuQP5riJwxEXt1LyNhAd8OqELk
LHLWjznQo9kkbLQL6E1CG/wBYCRHEpLStNwCnl+NRXybglBq2/yqrNUDp6tHTHvg1WZ21fMn7SR9
SR2jOt+0iuasHavca2b2QnYa4irbP6q9e8RZlXsGZDOLZkLUVwiaS/+ZASTzkUYvgvxKmdup3DB3
n1jbJeojWSRUkhB3XwUUdyYXAziO7tVtwjVhalIAzJejbnhn5dh4MXUnbd+4bafwbOS+s2IzP60h
7X8dFBBPsTM9AVy9befxSuu1Z136GIv5KWK+6VkMo1Z2YLxFYtwPajA9p2GFM6QtmUroLNx7oPmm
ilLHrK/Iht3ataMcO7u6nSLeFgEyjBkC58IfG2Dv4YzyBTRv2ILSSizMpBDxt7P9VYsLYyXN+32b
hsusNMQydQTzf1ffmEq0r/15M5aaiR2fFASlCF+DpJq9tJvmtUPTA4Mu2AileYqw2RbcNoS15iPN
PnIxu5kRRGHC1+BujwM5rE6t4FlVHjHt7q1S16it4zvTD4MVmes2gjjkSK6zFA7oADuxEZoV+9xs
hkWYlV5XMbRlNPO1CdsLDHBf+gbUW4oUKpniMwKxQ6kTSMO6/JAPqb0QOlL6GB1RLaHXTKyGTTVm
/qINWQ4KN/2SJ87TbBcrBjU7tQme9EQvb2bFQj4QOjIg2LyzlfBmRN1IMf9YhUa0K0N3N4/VAaR2
efCL5tGCKqc59o1iWQjSnQsFrnGoWu+lMZ+zrN4mBdfmbE3zstRAf/QiuO57qGxqgfo72tRx6K4S
YksX3D3Wc9M3u5AW89p3iN2L8nQN+fBgkTyx+vfRpqrswaT0569rzJsvefvlP176pf6T55v81k/P
N2bUKHkR1/EQsaj1/ltpit8EQC2iyj4eb5/pHjalpkHph5gYU7pcEf73+WYxqmaw7VrMtr8Z6f/B
883Q/qALZhQO2t8x5F6J55ysRT+1WLYWaGlam6AVgGSzwkFeoQ1kkI7SMwGxUdsNfrIGN7eDdy5Y
0OfhU+bae6ZQpEe3DPeKs91Vu9hULmbFX6lGxjQ0tosjEccF+Vf1/aQaj46Lu/1DRQo0fNVPya1V
+xex2s6snSDn50VsX42BDk6jhkqurlLkeUyqTYbPHKfnOYz6pTsb/SbEX+rBxc9hrLYhAld3Ncc1
Z0MwLTXqt9lHxUiqDmZ9a8iWim+cx6mE7cGZ61luYy5DSfjoe/Wu19qlHU8r6l0kiMDEPQvsHRpY
89XifWKO5edWrrQN9wDM1HGQBWn86kaus5p8fNRdxjQHOdVuxu6wQwWCrQyRbJETvwLkJD2YEqrj
S7yOL0E7Rh3fQUNh0iEhPHUQXxRQecwYduYwG2vSOG6ZbOMxg+AjNwilRPpgADwaY1ShGQH3Ay+o
W+YSAYSfnczqmpFgUnUnwLE8SFGZrpE9bMra3JuwhLK4v3ZjptUMlkxCm7WtLcFDEwSiXtNPQT6f
ZwGaqJOQoi6uH1OoRX5H3lcCxwiIW0x8MWijAHu4ImFHCGAZ40gAUilRSKmwQHdbV4mEJOkSlyTg
g1QSoIQl/bWSSCWhNmeBidGAtVSo2TGDvaSl3UHHk+4hQT+wfZx4UThNkYWEVKKbVOZ7K4OHYMOQ
tIHuVFX6yTZJB2ihLnqVREChpVriLOLoUy6TEUjUjNqWvx4Tys6xrplcnNiRFKt66kdACWCmxAdw
SqKnUgmhihPVBsPG2DhobkcJqurj/BQY/vMkEVap4mwCNjksTdV7A8pVrJO6rqUxxC8AWA4kLGj1
Rw0y1gwhi0yhN6znJaNz4Fl+Y+0IT0HtCler7ZqL6CPjrfjIe2MZTpA8GXBuUt7DraoQ8hJ1Hs3G
Ke+Sch+TB1Yk6nVr1m9OiRodi1FJbliQQ9giR8wlT6wmV6wgXywqiv1I3hjp4pe9DCCrGsyYqQwl
s0gnY3yOgCceMMBHH+llBiXgjbDmU1DVzQZR1cCOHMnqoFu8rrEp03oz2HOzIh99O8z6ZW0+NQpD
w6xz73JXW6QxgdcyyyZrzd0Qgn4lv6abIVlh62KI0V1Ryy/qgUQmgTqJDQZXX+Vf6k17xGfMsoX5
OCbea7wKnj8FN3M5YkqsmX6HRNOhu4UibMD53LiBhm2PJKi1nliblFX+tmLoxdwsdMhvl9kPHVdO
XqLazzWStjNSGZ1RebSN/GtRq2+ovRMPrdT9nAdHU8MLO1alsTTl412tfXthx+WL0yn+0U3CUzQ6
HBOqeplR4y+ogLQLWuR31v3jSp2H965RZvgX47U+TOVOz/tnhqvryqCci+yTk1Zrt8mofUbuF8do
jM3YBQ/5iCo9GfJ16Uyb3i9YqtWXbpQeVCte4xnoPbPyz7GNOxRB+hYuERYlxbxzQIPwypjr0KVp
BJxtQpMdP9p0bAZjPK4qRZyQbReXduFek1G3HVMj8vK0zxZ2irSqRNEdAa1emHa75L0yk00aA9QX
pueKirmd2hEraIqjgKxu9zUq7eum1a8TPhOeAxoquzxdoIS8BF68VkOFv2KfgB707XrRz0PkEYC3
CSuGtFGcuri7lLeIH+c4SbU0Zey8GYBJFUCku6g/GIqWr/iDTltTjNcSYaBlZbgMwKjgK4ZbO5LD
QSI6ysBi9HxlmTj6IWRZi0PYflbxg+84jjFwQkEIjHGthNWNiPyNNU+1h4SiW40RQ3nE5K8J4SSg
4fRNbdrzoq8qmBtmzVVT3nTmeDTUJvYUvSKuj7M+Kc/sB9JdqQ0XQTteq1OxYoIwMWK1D0XlbhVN
GW7DeerWaGvfE7dDJ2PbV8yg49Wczrr3bz31UU/Jcdnf1lP/WbzX+Zf6Lcr/bPv/aWSgGYBNJfNH
BqZLHOqPkopsPxil6LSwTTFjVZmcfZ/emXwFfQfIePtXlJD+m2MzS4CY9vvU759s/7WP/f6PiTKj
Q02ngMSdhNULUZY0iX0uqdzRVErSdcKzAnF5afZZC7xgAonSE3rc1zrBIG3V1px5qIDQnCQz6DR/
qJr4boqTeOWyn1LPeS2MZV6VAetmy1b7q3FwiukLsDANj07AAh4T0pj2cFgXFVwlsmt0a/bZ09pa
Ne/QR5DFsmlLJQ1vHGyzeBpbKXxVbNXCKD/Ht1mR9nfse2NBvaFOjO0wii9EHIfrskxZXQGzYSYX
lYvU7Oz7XOuVbjHR/9yXmUtfo5vlPHlGzuKB263KPdoe51JP+vJJB1/9pJglYHVXY6Os9al/waAl
cBapE0enuamczsPBAcTNiSzfcwuBFkHNvEyPu5Oq2NnZtvL+mplDuKrh1xt02zmacsU3OREq51nk
2Th7LuUA93jdWePCdvDQe7GW2te06pAA5jaLtmltz6+ZUPRlGBhEeXqTWpm1gARjxixLYNIkxc7p
9XZj1vxBGiy+Sv/URrWmrZLe78kd1LowB0ca+rO1mgWPahxcA/JNd0tcIf/ZVNbBxqaWvWrqPn7W
3by5cu3GXseppUFLaozwNhvKs6s35XBZKHyal7kS9FCWGrXIvMAvqKBDoXX+hROJ+ClJG0FB0hFS
w+mZIMDF1pxuVT1HTaU4pR/vKq2Ox31mR8bwDhEqeHfha226lsieNAqR0EWuYMmgQBrPlNrmOI2a
RxrWsr6oFIWxABLaf0+uj5NLpvv+9cl1LJr//N88eE/f/2znwLd+7wQ5myxQZmD5BNNJorY/HVsM
LRGbsx9icklqMEPG78cWyiRyH2TS8e+qpR+dIONRuXdTTVOg/5SO03/QCf68ajPJ32COimSAdGRX
cBzKr3/qA2NkAc6Qu/G5y1azaUOz3xjVw6cP5k/WeaBcfpmmylchecdkw4Jqley3n1+lAoPOFhxu
dFvEUbosHJUoBloYJKOIJFax3jClnIRGhpsDtKoMISnP/qFPRXytluFVGjkbWADRcVBVpNiagmqE
gd4i1SLVUwNikEW263pqud7dlp12pG67grdxqubiMNb6RVQHezVOpIoiANWoVu7anvB5EAuEWlO4
b6g9gagmsCuJZ2Z2k3ZfqY4B0uQWgBHig1xaOb5/tBVqHvIYrf2gzNnGH0YbnDW3WyxvvLGbuQcT
TOMe5/i9L29Owi31ZwHxaqHwANlEahJaq7CrOGuLqUoeCkLLlhPMqmkbuPIe1z7u9153ztbUTOPG
lkcBdGuCV1u91J37WVTEFVQi3dQKfcZGKwb08R6yLVyaDJUz8j5pW2nNiY1TTvz8comZj4DUsTsU
Sr5xCiNaQqGDXBYKUJkcoVs9NZJ9R6Koc8nrNfqzOQU26Nyp6ItlMOnXBVjr8TIExUZOxuQe3Nqy
9z3kyScejcZDb2PIddJpvsHF2Rk7p0hMEqsE+Z7wpXsmexB63bsCWM/Cyg0yJzoVrEs5hkwDk8ED
dDftemH2Z7frGCTzmR9R6zZfmjAAowUGYRrxibgVZBWBPoxsGHZTaT9cz33H/h63nlto7nUwmcRe
xWG0dCY4B0WZqd6YGEtA/Uu7ih6czOyP/On6pQX2YUXXIZYoThDwp2O0t+YuXNntNG/aNtWQjjJH
aMJeEHJWNRtL77coo2xmCaK5Cqi1V46SnZizYTFoCN7G0mQU5o4IcFy2VrotQG0uA129bNzhBjlT
fxfAMvpaSNU1UWPWMFpfi6hbmhlDfb/SblWlWwcIqgGkJytXydYJlqQY186iscq3pmnf86h+n+Lp
nhXYEtr53kUXgOwRr/O8weR4mpx+qbvtFoXiEawXCtf+RUVmXWXKOsXOqNcgMLvpNe/mRVC8kpeq
LQcr1TdEcvBLmP2TaUUv6WwZK6tJmj1zT6kcmY+kw4A0FSeLZBsAe08lfz46B5S1jr3CMr4OhLPt
1Plp9BvST3280mq1YDvAkKbJVUZFJFZoU7ikVLvkPV6bmCoBhczBMqqRBRk9uaGhAYM49MVVm+YN
rLT2EIiRi7nVNmlFSQT9gassmw4uN5EKM1S4QHIc5+iUOtOS4oGRO2Mi+6YTwRVl1NHm33vhHrOu
vwrdaJ+KcoUTKFoFwYhXBZ9KHLKK6GqAbfhFzomSPBeJ9oyGcY+PgF7b2ceddsUMhakHyeZpejKN
mDDiajrMto1YmumwE06vVWJvqS6Wbo2cKMSbM83Dnnpk2lVznu9bp3jLJppPJaQLmgLWEZBqkk3l
QgNCwHY9T6i6//7kxazwx5OXYSObNKzK0srwy/keTlrWTFYanYsqEdJ2SpQMY7glcYrpsc10BKOk
owcF9rOsnN+1smquqipRb52ZzMdiHK9JEj6qo79MXPtBHdsN4ehf8yQOYH4TFRHE2O7YBayLmWs6
lSYu32y8IXZmnEO9WNpOu+2L4oVyrPOiuLkXdshqSGsJjlUTgmFyb6i8ZtxpJeyn1s+hVtYbYfSk
7LHxyey3Kc1uOjved35ymJt0X3XiaJfFEfEUkTjAa5fNFG0FuiWPhD/P8pViHZKtBHHYXjZqc21M
Hbyc0Nqroct9rQfq0W81rMn1eBdHPQZ8i2WHmMSFAQfGqyxr8sYoOfXlfA6beJcM5sYcZKcO3NDP
ExfhlpyDOAh12nhlBuUxDbIezr24iNIBvn625blWL/gtZ55rUEPj+iKJ02vDRkLV56R5W7kSeXoJ
KK/G8683/TKbGeJjCrozyJ+i4Y2+wHU4RD0X08gF6tTzOkmqt6QiibjMTHRjT3E2sTm0GG8aWxaB
J3hlb4UrIYdgKwNXefM1i0Er+jSrI0khwQGyU0p5lrXHyLYehZoSKDj1C0dJnqZMaKycpmRlhMGF
PpvaMpe2RqOMna3I4u6+YCJ5YOten9JiyHZ/f6nS2P20cKVEsAzUDzauFp0e75cSIZ7rYaxZ1J19
tIF6vMdy/q1QfR3/N3gv/qQM+VlewY/Uac1AzbqmJQUd2i/yCrqkHPV2EJxTFLiKdRF10TYqr+uB
OVnNVo+wLzde/f27IvXvp/f1x1eV7/tTgdWVEJsMXVFO6pTDHBByIp3f8FR8DAxqD1KSYoBC5oPl
67u+yxOvH0nySfOhQKEbFR566cdCsY9RSzwZc6Z16g7aixOiTctUFFhONiwD5MZ2ajxZPuAnLYUv
y9WUFxDZ7Hzl4OZYamVP3Gk+TbtutPWXIicn0pgR2EVR9Jpyra4qFZ8/J/AE5MkCf9m5N52RzhvO
w7su6MUOCPZlOLVvse1ueSjdNnW9tpoBw7xJ+BODolWsUqGkQ55vprlTvQpWHYpXM1zY0Xgt+aJ5
FPVepQfWwnSnAxf916oZQFSUEeGgJGEOxu04xw+GmuzNtqgXCP2CReTjk4zbCO9SZ+6SOT4I9J75
5IulnqoqD5iEU1Z96KFgM5LKTg5U0rwGnufPXMHqKmmDzAv1clnEaLnLOXaWdeqfSgZPAXEVWgHJ
3AnGm9BCnjWWym3XJuQT6JhBZ7vdKCUOZuipX8Dtnmo1u6pK1tft2C4abQ+4QVn0pg4OCvVqqWl3
+RRuRx/iFM3pubR4Rsaluatr492pVLbMEYFeprEJSuNoD7/HEP7lJf6xtvkxg/jj1SYL8U9X24Cg
oSfBQDnFx/wyOCvr6lDdY7vaEcF7dHj0eK9iWJh77URW1+Hvr3WZ1/fpFv7+4iiEEFcJDHK/7JS0
MnRYiRrKCb/RIj8Kr1wzNdMOyoO9Jpvx7kLxjg/9iujR/gv/k57hvy/20do/Y0XK/j+/zc8Pvm+/
jK5SXmLAp40y5X356ZOYgImhApPWLrgiOq4n9aHut3//jn8+s/74Gr9MfAADd0oYMowvqvegJs73
6u9//p++B0hBSM+Mj6Xfz++BcPhZUaOKh7dyWYEjrk1qzm8n1L8aJdnK/nX7jpe8rdnkFn/KVZXf
+71/R6lk6gYPDldDrUuX/qN/FwKLKDL131FNcsn7vX93ftNUXZBUyZ2gUmh8UirZmEfJNUJCK5Wn
3Cf/pH+nmPvprpNKJaYA8NB5frJm/kBXfL7Q3cymcOAcusCsKUKfpVGh7tNRM/Y5KvTYi3FcTnGA
w35Ujk6Ozzo2KVYG0Ioh+0oMQjH5ye0hccabXh2Pk89ahWqJKmegiJujee9G7f2QTWc703dmZGHL
9lHuy2iBcUSHQeLISN5DNOMrz4gIRDtFs2zDY6x1/avuBK03MCfExpBMXhmR8VMn+HVmBwpjHDtI
aEhYQwPzNFlwUprUmFaEuGVLtS5vMZDAVe8UAUMBs18JmXka2oURVL1X5/4DnsVlKyjY6qZZApN7
YW62iP0qWxJt/wqdJfJ6K3q0qrFhnGrtdGjVXRVRhRfi0QqMjWMTLuQP+jpEXALxNdsKqzfpFh1i
hFjVTUZfLyI8HlPhv2TteKEWmGKgOzxFqhuxx0w2STLS8QUElY/wluueVDiyk94C1SAzT8vRappg
AmSgnt+175Yv5nOTTF+i0vQPKMBsVEciI0faWsGR065FY9dLo/BZcjM5AokzupthSA6aWfXYwJkk
E05XtxSVMhHdxryDN5LAGF31UnOEMRmGgBVdyH6doIeaVGdcJqhv1pg4yqWfKhOCSttdkLQVkmlZ
QFdQI3+Vq010gISQbhx3aKlQ+vl+mPtwWaipv0ialNbSygj6GJLkqahB6pAEaD3CTcium1qrLkNL
RDtHq8cju3Pc/BPMQWHhnV8ohhEf/QHr7kopRsTwM5uqOVP9l9GJFGc5mEq1y4V6lRQuxi/6sTt1
4oPf+I6wnhUylb4a8H1XmSvEYsBdglLe8ShYiWyPQYr0M7S+po4OWiNO9O586gOOqeDY5NWT2jSu
p1TduQ7zYev77bhmrI4zWi8YApmsBI2xPButaNcVo4LYrttVBX7W9wEQJClGrVyHF271LoB0I9GW
heZESzuTPU8HfmElohtbz0vCDK3kVLiOcyC7s793M8fZWUglF6Gi+hvMVQSmKPXXUeAnysqYrnWK
/lV+ax+zWMGp99eH+em9fn1/48jO26iddm//539+fNd/j3EIP6ZgaEoTLDXb/MD/CnK038i3s4hp
4BT9prr5fowzu4XcB60a+M/vSTzfBafWb5z7LJZI4zHgdaAl/wdjWCF+9iNwjCP5wSGA1Mvlokbk
+vOzXlfEoLVVklxoqtHWrPqjUvWiPjOUByZptoyqqll6d+CBrzToOR0TTwqQ7bjbqT5BwrkkXQim
l859OIE+K6P+FvVtfVDJ7oNxHMSsfds8YVNvwCFu/IspQY9qxuQKlwIKa4QMvEimi1FJezCs4gsZ
laaHZPtQqvNlbo3U8X59PzI+LM1iXncOeTbq8GaxQCZ+nB+gz+U2GM11DzAalad7xY7pa1/UYpXF
GaZpTbVW5dAmd36QXSoGzsYW16CXwLlzCv9qyGJq/AnJacBCC2W3s+0t3G9Zwm2Lt8rgabMYCu5+
MvdS4pSrfuUyitmWesbsjyEm9DbfWmVV+NghCVnmZolvSwpX5lIFvcLcZdEpOm63wWrDLdaYQF1U
TE2x8di408ZUSbccnoTR42jaNJrGur7Kg2u7tccHq6+DRYH9b4EK3bwgrEh4gRZpZ06qfTUa4jLM
i2KZNxPtdkXjUDPtWIdFhsYVDRAiq9h58N2q3fIMRpUf1vThvQYGTAaL7GOthgLDIufglDXexcyd
moDfIa+ivWErFljFpIGOIAZpgrMT7UWrdGPZEXxow2E4hYCHOt+Jly12yjDnGW4Ql6iiZzVil7DS
j/BWvU7e0wJEHSGLhaoGy4zYxbRNEs82zRPBPpjtSWYMiWg0y/Qadve+FPWTUJJjPDBArgh11OE4
rFoZ81hWl0QAnFnIIf4NWzu5lIomCCeQc7AQmmE8n7Bc8OBPhlUiRVK6gb00QTfVZewkRymlGi3h
rLI5eJ0/ZFZA2RallF4VUoRlSjmWgS4LuA9LexpDb5SiLT0cV51UcWXTXSBlXXgJzGUEw9iD26cv
fKa2rZSBOVIQpgTsN1U0YmPEfylFYyHqMXsqoQGqEiBnuolHRmC/YevZL1V0Z7YUoCW1GS2mkhmo
qrYHuAuIjk3szFEK0lfNxLM1Ymvzp+JmkD4Jdxpcz88bm0hbthsRM1mcHq6UDbxnfvCWFk4Kqi/1
SM1j+KTEl52Zo5whD0tTO5DozZStCvZ7qOKARjhc+irs92WuEpCx9M0WQY0C6RzNMDq7ZJ83bXH7
cWz+2wxI39VfPz9W6X+WRQ3r9Y+PEPmN3x8h4AccclUJC+Vp8UsnQI6CwdMFThE2oA9f/vdHiEv2
AowBhJuGRLVIp8P3R4jzG0IBjnzoBBI6988gcTBpfu0EHLnMw1Vh6Br7Rk32559a3irwWfloPaxX
o7gfJOyxh/qokBaH4KmpL5VZIiEzq3g0DXJzsC2CN7YVfEUZUfKN0uf7OcC6m8w5aS6wJqFB2csa
mTmrJaGtZ4PU9ixCRmfi+sUG2hWryncZ6UiIZRzPN53EWlJih3QF9p0L8TIIw3xtzWhMAZ/sadOD
bQ0fs43GB39AKd3H5U1dhNj8lMjdamrwCqzldtTVA5HkZ5IyKdQkgFOtY23NZocHG3TOlESYSeI6
C7idgMSe/FbsW6tsDiFkT7Un+DWorNDrBvY6FvxPi45j20okaD2a09otxnersN558MdLksq7ZQNJ
1B31x1wUnHkdsk+sWl9EH16FEj/Kr/nq5tkFKy3yUHqZXGkVxf2Ien0lVI1QWXLQTELPCJ5mmp5e
ZT7QKwQe7xYm6VEGpBVpuTGITMMSfD1YSbClfXDYR5rBKhnmeRlHirXqlBH+DJAdEhruI+LYcPti
ERZaAYHHKRa5TG2LiW9j77XDR/ucyVy3SifhDTPxxSwz3xx1unfIU3Uux4YauGzHmVhtx6jdY6iU
X1lwyRAnABHoKw3MIUjEjDkdN1nEoKuKYndXYoG+0hNxR8Q0aFD5SBbSHE+qxNOMdrLEW+x2t52V
BmcsFOV+VrPaJSg+2VIarIZYvdZAlC30HB1pDqtukajRvWTYsV/unIXO2HypBzYaf6vE51607UJR
ikuWCT6WSAwBlnprKzzDhhigbjduMSjj1835iOkL/Xh8wFP+ZuvZ0VdiVMQQ+RdD3SKBU7ovBhsP
dPv6kyLSZ6XE+6YF9mZyDZ4sOM2ECgFPcnPY1bJm00nOwtE/sacbYxuob3K0fPukdQjfyJS9YZD6
VeXoXlHVWAvLnAgeTwJz0Svxq2Ypj2y9gfeN12nYHqdeuQWM+NymgPhq9gS4zQ/VWJ9V3b8b8/gw
DRl/LV/cBxkWjLD2b/3RPvA8gHYrAmOtlzZRx457zoXx5NvDHUTKeZEGacyDgwGQHakvjeFeD3V8
Dsoaw5zEIdv9BaCja33ivWRkXNXgH7AyekzB9wEg4s4aDqVivgRTe+8YOOdz89wb5kUYzVu9zlD6
Qo5NmunR7BxnEwdILRNkJKzYoRAHFeofVya/+yPblT6qH+sm2+tuf0p0sQvV+b7LQxgZqOeY7Q67
kqemxwWrLtAgXTeR/kJ9RgJ6ktaIYtnjox9eEVPurPyWECVGFjzsXSw7BsuGuMziXW4Tf9KAqhVQ
K+SJyylFInDCTqjo2GyIqlWRZk9XgQqkV8PDovIRcCZd6ZN1ijv31cTPiH/EuqPSPukGuRF6N2nU
TUgPC3nE1eRTALO/EW6+Tm1CWEXZZIumKvauZqbbDPSflragHLOW9QrXWzcHN1TmL3bG3o5F5ynp
Q5+cEEVZx016TQ0JZj5ING8S9osAsrXS8pSEJatcTbrUj0boVDlJ14Duv9bt7N/EFcJ05Ea3edSj
KMe19VqGytkq+p4sCs6IKHoYwv6idsMtBI2v8whvr4VuuQjpDJKMwtWLGhM5AtFM2UMWKHZwmkVA
ZonVk5+smQfoTbeuZM/WkkI7z8UzGmh3BSVMRxU6P/rEBi/svnmxWqXy5q6+xEJ+DsHb6mBuR3C3
muTe6nm9T2exSgIDtlJrXoG5PXUuggZLUnNj8LkOGF2VJGA2y5B1zYGlIGTDWx3oLunV+xQIb9wD
4UhICOK3mR/BUZ2aarrPzOGqHOJLrgc+hLG7y0D7ziYTDMqdFLtaDu2e0nZ025scILBGaI4KINhQ
x7tcMGYCHGyxty7BajB14a6WbGE7RRdGo8NDzqKBjySDOFfhFHPGLok82RLesK0lr9jOGo4d5Oel
BcuYRBcAih984zLezZJ4rCTDLv9gIEsaci65yLUkJLuSlVxIanKisgxEFKvJpR0+LgxF/1ZlH129
BDj9dVV2E73Xf2qz4bu+l2SCrp69tsZURcqL3M/DWY2G3xFyHUFH++HA+VGSMZlyYOeZ3wB+/MDv
JZn7Gz9EsIY0bR3T/j8czso39GklQleP9d9G/YXVh12E+xGK9akkm2HMhuC11QvdQa3iZ5BVLe25
CN5Ul+oAf0Zt5cfI4QKPBlcch5L/vxb2haXlFyiE1jiTr/8fe+e1HDmSbdkvQhkccKjX0IpBLV9g
JJOE1sIBfP0sZFZWsVSP1cxrmd2Hvp1NBslAAMf32XvttIPz0UwQdrRhi2b3lNfWtuLUzeP1ouRA
yQnjmYpL/JpDS2Q7ObaW0wABsrhVBt19OeR3sZ5XC4rL02VVcW7So/IZDwRNJ8bRGuN1JqrXiVJU
EU9PBtjUZTa0FEHh3OaZuEymaNd0UErifHriWbpTYRItZdJeDU7IEjq/n9zi5MXVk6RDZZFYxqdG
5wjK30MiMsaXztpwttxMznQVeWz5+c22pUd9NsVG5CmoEjB9+mYcXzEYzjalkZrZXG6dirxD07u0
SrkPlYIcXrajs586XBvKl8eYB/MyVtrOVjDsBS4SjKKAh+SwNwQSd2nfqLK7Gdusvk+t8TUtMcDb
FU/FUH/UM4tRCRtmqQ8XQVJaCxU42tqK813Lw305dN1RymZvw2XnmQ2rT3yDefQS+N39SEAJijnH
PFq4XhK9we1JUCV15Ifp4O2HOXH/3ZSrdEn/t/Q3bcMqc1Q9ppVh3LFm37quWpfwFbuGv1kQpBJg
B3eimnRu29dnFowiXPtOXGxbCysa7J9ohE9U6u2+cDnMto5H8omnKdUFhV7TmhRJbKtNY7bea9pX
ioCOZbQ0pOhDthgIL0ii+kW9gruLKwgH/7KU3kXWVRVGGvM9DzEGEZtircqYim2+4D8pGD5T8277
TIpeUn3CoZxJyERhcoQQR+AdCKzkxplKNtCmc9ZCw122Rsn30Gl60sKndJDPuTso9tr9bdkl4dJj
o7qCKvstLptPCns+pram4txJHwJbcimY5gX6LOkmGGo1Nol1rFpzLa3+ajAIFJtespNh/UwIud2Y
Go8ky3efuS/TMiDZ7NuO+ta4bDnzVPEQyGjtyqPGXerIyBdpoJ0D2JN0QQaHfIi/yYG1Qcb1Qt7I
SqajzfY6LsprFAwgNslwX0qM0HYRzBAqPFYMYYFuP/olNSwW/40r1GMwVdeRny5HqTUn1TznltUw
YWvFEZ/3NLsZOMXoaHZEQzVA0xRiaWGzTOuhZ8fCOw5m66abi0eTMDxONJFOJHlpn/7E2FEvUzYQ
+qYak/r9v+fK9+eKzsn3n58rm/qj+buswfxVP58rgjJ1HLbAOLhq/2ja5ZED5w+ii27jnIUn+PvS
z/mF/x8CAUYrh2fH11oX65cZE08e1GGDJwgx/Bu1GMDIn58r8/bQo1nGERZwevNPq/YkS4U3tL5z
Jp59CNqqzy9aZYz2Ms76EsZGPvM2XNVA3vgO4Si8kJb04jucA2/k8wCuIwurcRU2WE4UKA/WJatk
QmISM+WjECkfXy9+IzFLD+LMAsEjj+1iss7Cg99EFS5osOwmByCiukIk161ThrdJEu08Pna5Q98h
tXZ8WCLtnPi5C4Spr9Z1pgXPY9mGV74fRvZVmNI2Z+Vug8xHhB9nKPT4YmX5mZ7f2Y5mbnzmX7Vu
cNzCm9WaMHroOOD1FJmox8TwQppck2IXhdD4ONrVFyqWB9VZNxau/5Xv5A/6lN51ktK/IizfjRlH
b4cdm7wpWta4t9j8voV5PC0AHJ7tzni0h+GhC+HSmQgNWq+ttIzRMpgp7LIsBa5SBRs6pytVyPAR
6LcLei55MQLrNnFBkWL3WI1a9A3z9l3WyQ9dYjZsMv4oltteOybekmCAD6X4/jyfy+RlNAPOX7Cq
9MlTq6piv5il7l2VCmNDWR6JV7PVFkNs7EIyFXnf16tMRXszhCVlEUha5JjrFg39yWsjrlIG0vFg
lsa1b3TZkhGEDZY0dmj7hLtcnLbeOBh7pOc5R6d/0wtv5XZNtiRi4UM4b7ZZ7r0GYXG0PefYmIAZ
IldjNTp5t45P7asXNpvB175Z3rRJ9WFPmf05qG1ga369KmsKGwFhsY/zy8+20Ii7REjWnZa9q9DD
FjPmT1zSlIt5vbOzZ0mJy+taCuYYLJLn1oo19Aj/KvXaa4ucGLBDceOXGkxvTmrYmmsLsFhPJTOH
OcJxT12M1Y5OvEPLO9g23caqwmg7WIjotl4VazK6+6xnsVFZj6Jpz6xW7mJIektwrg9ZEN6EErNw
qUMEDmxtz2GArq+wvhkd/w568vVUdXxEBLvTUWCF9SI8UqL2rzp/2o2pr7FT1t7rSgtXumThMFoc
fibhpUvVsT8GWsyOGRuQkON0KErnMh6LcVMwQSzLLjeXGDHbRSXViZKAb2kaHaLOxZLdRBd2XLJ6
xgQIy1psdY8mxZHMqOADsJIifq31Um1Gr730avnUa6G+hLfTL+Ixs5dhZ35SJjgtIO7cdFO5bAGn
TfxlFo4zYM3McSa2SX9vqCnfaZKrE5+uYvkefaSjMXHocp4sBTlU8A73BfNeWht75EdzRejoFPaa
sbBpOVnqmZQbVcWXUWCvbC25ydL+zIpAW6jQYUyLk3WUeSwK8mpjp+hUqlTmqqp5wFe5facEi3y9
1j99Q75AMXonRzBXzHF+DFp0Ks34kI320OA6W2ZZ9pABd1wbXnc7Uua5jezsuRjl0dKKkWkXakQj
D44c7GtzLmgET6KPyzGs3kyFc9ewcD7PPUydBfBUm4flBNWun95q03iu8CXuPB34ROk5V1PXM5qy
5ljJmpHHBpmx8DD5UuXS7HWnvQ3zNl26pZ7uRp321M4BU5qF5ktpy9s2g5mpQheWdeerFTmmGBcY
ddx5pJ97CgzWiWV+9NPIaGKhWMRGvyIj6uySJPeWPTPNwusqb5HpKIFKqnet55MsGmnudF9Z52hg
MdE31bByNSNcmUZ1o3IOxqNLbYWY+nUS5cTC3IjyInNcRaxl2HuE5QXrnv2Y+S9ZjkEt0yR4agc/
9WBytZZ1/G47OeqeH09rK8cVLM1xZ8NF2hel3CSYQVehY6cbF9LygvvhtM3j6qV2rU1ea9tA+dsC
KeiayKjNJi4iJ9Eo+s7bDEqtxn4S8cy/tqEJbMjY7qvAPGHPoJgji90t+isFW46rL3245Yew62an
a7yh4N08GKVJhwaVBJAugnwX5vl0P6mM90aN2saigmShIRotAmyqC6vt92ZGtEEIF9CI1R+D1Dv4
3nSk8I+NEFGojZ9M13XmMwU7t64GL5ZgGnT/jsIPdKWrsgvvcgOCVULGbVOanO+7UKuXsdm+2xXm
GZyN7nZwW/ouBe4W+pTwuaXhVRsZV2QW9FVSRP22LKcjwKATjVwroCdXRASStRkDzjbQvheRU58J
o727efaWNj5Ct+Mhf9qaRZ2ZRf2RO67xIPTAKGn203X1ILrktUi0q7SObhPqt3CIslKNa0FxvCw/
UngsQabDEzAlNKGIjtEuwrKuUmi1Eape32Gv9Tr6Q4Ter1RV05OKqRoUq76Lhzh4qMKUFi3/2eZY
wb4yWTtp9lln7bNlagsrbM9lz6Us2+zdJ5y0Fl6ULLwsfegKN1oUuDsXBrWZkw70QUujC4HDhdat
5JjizlnOrFdL67mBCfExuM3O6fyTS/nuFtfpAYyOt6oSbRFb+WM21uchp3vcHrOMui9OLn59qBpx
tNLsm1a6n2pAlrRR5vNK2/lN/OFq/abpinbbOOW6KflXVWgPeqyfpuCY4eysO2dfNsmr18VvYcPN
t8f8FNfOvovYRVqtC3DArg9To1AEE96eDAWYI8pxmLieI99AbjU433FWwvLq3EZxwP+YGzh1laeo
TsVCUgW5pCgo2jK5vTCB7aOh2FRMOguztQ+TxWGzK6NLTqAL31OPwuSblwOURz8+JmxDtmbWvgOk
fwwcHwQP1Ra6k1HvkT8IkweeB1rZCgWeJNc8D0l0XytAbmWjE3tmF1tG3mlEESYPynFCqxVbH4t6
UZltAaKjd9JZbQs6VlGt3AW2nWAT+Xx08mnOkNZI3X3Fr+bmAKWYO8nyRBiSSJLnst47ZnhQY/wZ
CivaBMq9HEW8LaZt49GBB953zFdiOOEjvwtTumBx/GRLUinbOJ5Tkw6DjDm9ma7a2Cp4c20ang16
gjVfp4+7rF6pZuspTwNWwYO4r498fO6C2caALvggSoc1Maaqpl67OzNId0aR7nsKVn3XLK/z78YI
PY9s+kikJbTHkMABoR/cT/UBd4Gam6VV7/YA+3tthOtuveS6FWkr6Re0q8L1JyzkJYdCoS4PCYxi
tMzt5AUIxYW20YjGr/JEU5tIFisQv93K74sn3xXTOnf7Cl05EGuyavdmnd8qupc3jSk/q7h+lJFj
LTIGL82nlAADyj505GuZD1cU5EIjchAkwqjNlsxdzTJJcP5bCi6khuDO4wQrARvqftHwSOP9m987
ZvPOAyflhZCrhVykpVwNrXPu2+jS65zTbBNcUPT9KpAHGk+exDQy3RTlG8+WEZAXFJXcvW+iSB7a
Tv+Y/D7fTjGn9bF3d7LvrqiA4pAewm3iKLFgrlEr28+/1dRNmxxglxaMqU3V2CcKR28MYMWkU8EZ
ZIXacd89ecrcOqPFw85qml2HP5rnGy9o0UqayBQEv+gZbybSyGW8LQ2mXU8kL0mFpBReJvB2Y3zx
asBqWNOk5rn9mXpsysfL9jKz4m/lWMOSFXRejRhjA/2Ml3yT5v1ZGpc2KyBtqlZ1rQWHXi8eExXs
2zB6bp32vvSwlMeTvnbr7WA7t0MAirjJzmNlvESl2HkNwREzC/bT6Ez7uEtf+AHvw1kypgHDX4dt
iUEu015kVvSP2UQiraji4xAmJFAgMmBImy5UT8t3ZYunstdfhzi5Vip/TUqXHq2m5UoABm0Vp8gM
HzPFbu2/A/33A71BVuOfD/QXpFqQPv7i/uKLfjvPe5S4uQbcCJxVwAP5py/uLwRasrkgmX7Fe/6q
E0vBFyHp4H3hmE965DeZmH8RLqRQBF0YShCZxL85zsvZJ/67a39WiSWKAvKAMPheP+KzX1Tiqqhk
64ZxeFXRBejugDnz6LGcS0E/J26VQPO1CQNNMWtFHRZYjzSnI31cLxSObkDUi/ZW2SLwPhWP1Zqb
tv9Kfi3W11x9qXbElgD3U4TxKNYB6QCw4kkeZSHHjhC1UnTGgFF/sqaUMb/x4BaRZXLMYNmPNmd9
TEmeOy7qseOYGQMqCneOmjtRUuhPrPud2tpVQe2xY8kosrcrldaX7Io6JGeTeo11gM5K3aVrr/Rp
7lyxIghS/136P7QspJ1/vvS36Uee//XS1/min5e+IX5BlZXU/3oAeL6LUr9d+sYvc9aK/xOEybG1
/C5lYXXRMSf9Zlv544qETxL/ZnjiRyHivzA+sof4y8VPt5JuU2vh0ugBepd//3LxU1fhcPm53qWR
IQMzsUwlvvGZnmhqBNDWVohZ8YU1cH2N7xzWIgiyfDnBX7Rj71TneLfKLHlL2N2OzMm90QabUUqW
dcQ+hpk0Oe3zwazWXe9do9B8ppAel9AOmQSNrebg4mug0VvVFtj71s0ZrUptp0Xpm1UP5hIB/hTE
6joxYBTZbU2e1t45urHTUXoWJs66CDIVK8ZxawnvbDD8RwZ+dhVa6abTx90o+hr8hniDHg+HqCcM
BFG/lOwxavXOKHAB+zK11j6/27NHY1zrkzjHR/FBPn6VYCghWt4ih881E3x4NwPLnKXRi13VFsc+
QZFRrQ7E0NTqdQk/aQ9RgN8Wb/+qKaZHxLILdxIZR3Fo83UiazYFMJeksY3NLtjUCR90UQeg5pV4
dZP6iO0HUL6E9yOK7jmj+ACbPgfe4nIYMYtomW9tssYoWanme4ULHE2EeKHQMmulKyqoiswttpD1
zRWyT0Y80TuV8XidWcm+oYpxAaHw25ix19HdXDJi+fhVpKALcXyFngqyRIjP1tAOou/22L1P3HPw
2XmcSfrGgRmkOnUqatLEKO4IY3Z7mpL0I9Ny9cT7yfrrZcrsCxk1SyrlrtIqPlCfe6soqKUqkmz7
SgivCk+aQQZ6nUdzyqxMcclS/NYmXnUeyIXt04Yo09Lqw23kuvWwAMzqXeATDQ9OUvRbWo2LPX8X
mHWSdRp8Ote79RNAAct0FCDmqwIlrLdG0Fq1JdNV2g3BVoxFiBUKyMvJgTGAtdd2dxRS60//3Q5/
TALcPv75dnhR/J2wb/A1P++GMymIYlaD+530Zj/e74MA9j4SObjnQGrgq5n5Qj8XxvS1E/3RGRGk
++s64OfCGGQjtHAaiWx0f77sX9E4TI9B5I+jAKxh6tygltFzTnv8/O9f7obNxFm4szr7HJj5RJDC
1stmUbhhJellDPqJQI7fcVbSAOSkCFREP0h4ZE237rgFURVJU9qF20U6VaKYc4EJLtHANLn2tQ4j
8DoAd4CjY1JWipm6jUGVIVNq5Wqi02w2/sC3KPeNrHHaeb1lD9ddjHeEbpIiIC1Ro8IO+SM3ONLL
yFFt7nCUbHoUzJ6zEwy+DL+e1mz8Tr+Lc+Oizm0wFxk0hFG/yUdcvEIMckHL4rEssmNe+SehhoeR
DChsDbprypLjarmHg+yjduKBpVgn4niE8p0ODt5Xl3sB0is56oGbm+NdoWV0eKRM1OyGGyd7M3Cr
TrlCIDrU+fjNmA3CUdc/tYNl4gVLj1mk0yZRjFcN3LWNsns8Pp1HOLOvWgrFJvIyrZ2uSOxO69Gq
LVqAjDUMhXEFCaCC0tt/0+RwTGHcAQ7ACpn54tswlAXsjWYDXWQXUcqzzER6il3uk1FdPwAayZZx
pU7Ug3TYqHD9ToV5S6vSpnI6A0nKB6CM2uHXfrmXYYIsJ4tzbBQ3VaWWvlMeKaRdhgMm+d6tFoI+
drpQ3uSIbFuH/apFM+3TBOo6t62+DA70Wq7rEtMaihTn+naIF3VaJBt3dDjTmu1Fpk1igy2LfD+8
C7qPHjtKc5eEcKItZrKIfWXAih/1S3rtEoH+0FNNCdWhfgyKkSsxsY7jKG5bmlFtkFRwKsQuyeMb
SpZOkYXo5USINPYUrX2LTo1Saj7lHQSb9MG7wpnt0PxifhSpaHaihBJv5cXZEnm7DWlGys3kHnIX
KMtqUZTVpRaW5dLxEvwEKaMmDkc4S9kDmiEbbXQ73XzWy66A7Glte5XeDokFWmoukPBDHPEueICx
iXsudCM8lmUt2CTD0w6Vesw5HoASbqkaRmSTzZ1sMNEHNQJnSHduYy21GC+X1b4NCDMsf5SCnJmU
6FXEgajxXZltd4tsmlCXLrAFjQEtKBJsYYsSY0/PiRu8VBYg5SGiKtWLo2od91Ispd7d9xFnb5EA
ZCns8IAN8qA73ms+udRaBRTYGoW4JdK+iWp5h9az1cziSukgF4fIvIWG5q7cUKdIeGCzHcqLyCm1
pZlEmyFKHyMJTjEX42sWTMMuGQPO47Wc8cTeMteSfEVyothg4XyOc3T4cYbEpMPkHj06eVeMf1va
ZusTwaZNphBxfCOVa5BFCOKoIWkzXgohP+qUEFVRV+fSce6Lyg8PdWamaE3DBz7CmxgRZGGbQLdE
iurfTOOn6hFqabTOV34A4svAq7Msm5nx4ZB799Pulig7lw75m0UiyNMVZUTP7FhYYB3DXRIMr3bY
5uuWdf16sL2LWdEXmvxI2sFcFSARGXRGLqiWvJqmf9ZKHlkl7UaqA3MHPLcdVkha7MLKQRz1uuo3
8CP7ldHZNxJa+T5oIQFN8cyeNuILGqoO4xRuqXs9glG6pnLqmKXxPmyrWz+sPtvBo45Z1ScygpfU
rt2VnOYW5oh8Q5uLDSmH+14dkXboU6DcRae2cVI85kU7Lh2Fgob8u7B8Va8VXBRSP+rBa3AfdgUS
ZZ+XfPMoYWfbmnwch03SdTr0CbNYeoMBIWZkDak+VD3if7VYNuZsREI2I8O8IhHsStJ5aYJk9VDP
axSTfYohrY9wXrCMicO2ip2L3hTvHjuYiV1MPy9lSrYz5bymIVRurqx5dSPmJU6VOVc90nBgYsvW
AhY9KRsfi80PvypgmPBymldC1rwcCuY10ZQ6J4eH+yrETtfNqyRyKsNeztul0n8KKe2lHiz6yMDI
4udjFSXmpRRD6D0lQtPSnhdWMxzCa/7TS34E32bc8z9PSbsueyvSb+1fz43z1/2clAzzl9niAJkM
ZQJyF+ey386Nkh4GRiWW/yZEgZnV8btkIm3UEt2liZFYsvFFM/lu1WOu+d048S/OjX/OOkjwaKTy
XEFZkEEo+08GiLYbFSZuS111+iEg5DzeFM0PSeEfYQpS/6Muw29BooPVrGdTU85MNqtGX4cxgaE1
jpOmvDKVF+sNT4AmSWilNXJQGPNdY1VRw5JcT0Vku+cwDJ0nzlFGck3saFxyVx4MErAldJtiX4XD
CZPQ2japVYkEG0MYouOYXvmWtkoLbT82QEer4rbVS5xioVhPlXMzRM3OH7HehdmwyaNWrPhcHeh5
vdTc5C0d6bny/VVXlvs4jZ8w9aP3RyFE02btGuneCVFpxFB/svyA8BspqGHS2UaVBOvMeLJoLbWr
ekRoADv3DtKT2Sz59Z4CW9/roEkWkAMJt+UfyELQ0pjcMOB/+LRmERop2wUgK3gWTb2hLwCojqNW
bj67gNXsxnL0t7loDTsZVX8yv+tFcPAN474eOAMZUfuYZNyjw1G9N7Y8jLLON1VcXuThoFZe5XDT
iaA++kV9W0cwWx1ZtGtAZBdZQD6lbczrVNGZAP3rSYtNcsnwelE5soVrtJ+xwwAGVLEgHVdc5YU8
Ooqix5KC+wWU7Xhn6wOnvpaz7xB3+ToqDe71PS5EWU6PIiuwV+CsKDrtxlIavnojvVOZx1DsJs8a
nZELQ5V7IJfxOW2VWJJ9ODQaVjFdVFgR3eAUtO9mXGw80vFRpoylHCpWOGn+6E+9XPoVZYtFIA61
29Wrtne2k2O9lxGOdzVSZuzId7eBKgw189PN0NcD6U6rqvXuCLZ8Smpw9Cr6iCpcBKKJd6EB6UuQ
bS+IVvZG8ybiGASdxDdiJvk+jRIsA327idw5FWOSHJdNC5pb0z2mru4KN/c9KLdmCaB8H5phPZtb
bonWVavCCbpl7uPZl/CeenSCaT7Dem58a1CQgA+enYnXPyb09y6i0f6MY+8F6PL3PKq5MUk3YisM
k4s8o4s3iKNyyX3lPhir21xa5SFMTBpTHZhqBQg+MQwvfZxy9aiqW7uKvwceuufE9u+gozI0xPmH
FMre4Im7T4KURQZl7oNGJLsPGGkd7bPV3GfNHTFyYzZ0TIFtiaShN60dWlyMdWuOyb6EIJeulawr
f1fy1/AmT1R3VqCmBeoLV7mXJveJbnp7a6J6zDbVXVUZnNTLDyTOfZSUwAeL8huRXXwrbLHxxbNu
TxQdLHUEwka2q9TGE9jYD7m3HkgWjvEpK1hoadpN3cXerMfQmLfyMwpNeuXiFRyKVe1xiGhS6vTY
+S4Ds9wOhXkh6Y9BsdJQq5plyWcTmkB5bgrnKXStj0gfmJBThg3JPJ9BiO9D6DqufJ1xf3CrDpnV
PQcc/+Z7zk2di3VciptCmHsFdmwcnZWtBQ9GYj83roX1Sz96ConYca/GLITZ2m5w3C59b/zGNof+
TideJU2brDNfWyYVh8OmJs+IDaAu+7NDIUZdJSlnzGmFjUphI2OPF7saZg7tcmzrhwwT8No3mo+m
pW6yGh615sPquBJ729mYMnYyYpQqJWTkK6S+uBs1ba0Ten1woOdtq6o2lnFAY4Hllm15TkzzKSuk
dgsDEbgZOFmKCLhvLZJClhAfrcnctmNRc2RAvXLN7CGpmk3dqiel0oem0p5JL5nXemdNVzzwqk2d
Vq+VIfZhbX4bfPeymsazl3okMTPW3LhExSqq4ClpMYhy2OPeHdz78SLIwtsoCN6wI2lLldBTWbNJ
QpIDdebnGFFkGz7nBu+iCu+iqIhXnqkdur556kQx4UPg0ONr8DMo5AaRE/HswXPLPaDTUnvVIPxf
aq2r3dkxno5x9NTcq8uerZYNueKmYy/vZDs+ze6qStuVtPt+B2dNbVldF1QWFeMWnmyIJlZ6i6Bl
DmNHb1GZ6ol52LqCaXEDsnbeXm05nTDSa/47KPGY2I64Q5B8qsVwG1i1vfdk91TM/YRkjP3zl1nk
6sfa42v5H8PDFwXk+0OXDmXs/DaKsGPNUvbXhy5dpSUbkqq7KjBI24IG8Tubn9pCU43l4/9+rT9O
EfNroYfDbRYk4R3cmahBX1+raYqhNRg7r1yKRpOHatyE2sP/30vMP8IXQYcOqDRVXaquSj6YgJ/p
i32R5e3/w4vAKAB9jQRlzFPX1xdpQhAkMafSK7O+q4oTR0Gt3//vl/jr28Kf6stLzPyCL79Hi8Uj
EHJQV9K9zarNBN2aKSR3XuPx//JKc0z1923Yr2/Kl1eaf5Ivr8Rh0srsll+mQmMQOV4249BlbFbX
fXaYsJ3/71/sj+CFHy+HEmhJ4KsmtWLzj/Pl5WAUDFPdCoVO/CRg4zv2XRAex+w/RfbXswZT8z+f
NaBGftTRa/o3Zw2+7udZA7T7rKLqhOu+76G+qrI2JCUy1dwMTDak8+70pyrLAYXCRFp2PL7wR8fO
T1XW+MUmVu2yvOWUgBnrX9mt/4aiSX4HkhPeQ2RePgV/uk9ArKzzQavGi8EsS7ERie46F6WDpvGp
T2AFGbVaveXpbmLXnHaFnVD9wLgccwezZXLjG5goXLJ7u1r0zrgwbeM9AEyzLDz/tRbJLZCK7Aog
ByvZyTY24O8D5l29uShs+zMswTokGTERilGjDd44RIQmqpE/lANbQlinCSPDXsvTlnEfEyH8ShtL
dRwH9Rn0BX5WvEEYW5Mjebh8BY583NQW0yzEEbLBmV4uM09g1cVWfpb9eKCi++QWLTJHlCabRPOw
XLCCc5mtiS9kCRnqwXOwHs7FQRUzHi3eSK7VwBMRxHu+0qX2DAX9srSH/OCE3Z2wQ51hBwMNRp2S
lvBRO9ex/c6CmtRx4YgtlKTPKY5fcOOQxZS9yOggomqtlPF4jwnNxzUa0ulgsncJ4482mIxnxl4M
uljGN72dViunSQmRsmMBoOnl3pFQqljbStcOwEP0kxWhLUahQZVE3dmnmj4HNw3iW2ZBGk3GO62E
BlFIkke6W1w7NiKV59d0pekSWFbBKW5KMEZJXbHJGxPtJMIOzWWsQ+sZxRUntG6SvvJH0dKrrI2M
yVNd2/VlyHvXG5jjL0bBzI5sIub2l5jvRGeIp9FH5noVdnD2S9aekJNxpxldGu2NPpkOdZ97lxHh
1WpRkLTCgswfwb/0MC9hHko89BovORn4uEWQgV/ueU6vvn9o/wNDzLLG/7h75ePfMCHmr/ntzmVB
d0cggbfwczP0UyUhQ0LDFjsm2OfOj7LZn3eueWnEMp71C2kmj7X3b84S06L8Er3Blagac8nFv6qU
ZQH1h4epxTjgYVLhZzD4KWhs/tPD1AzTUgS9056zxAaGXaTRaigyzpLX449Gg+hHv4EMe522g6QH
1WKJ1hBkW40xV0s5RvRZVW5UjZcwBSz8bG6n5qWIGOyqY7xOQ3MrHE53fDJkGlFfp/kx5F/N94oc
PdGm69jpOq/OV45e9vI4WJZqhqXQqrh5hc9cs9VqCd03ePZ+yHwC//02bkrvIqz0cB8Mtb2olJL3
VUHZlUswuEJIhIGbxEgLleqP0YipnnRHfnbSpLuhMVC96QSxaPOOw+Ctl/WAXk0LFVp2wVG2oHxH
s+SGpF+4wz1BN5erzBG0kuHv8ZGqiyR31FmQWqZFp/wscNZABzWM+tWNWCynLQZGQNUWEXgrbu9g
kmJ4DHPr3Z1Sb9uHqUIBCBY+iWu6aaV54056uh7mqEfa6YPEiMzO3Gpb8gO2Pp5rCBcouyCDZCnw
3TUNaAfkF1pHp77dVb5OrlhQMLLyvNB4MSfal8IJiXqRGJ3xlnBGPHZVE+xHFtxPptWYhAMN7Mgl
B5fJzbrLrkve+ZPme7aK4lY0EWnQWNfdC6nwaltOEZ5HyjFhvVvR2YqaZut5ab2OJ889U/Vu7bKK
7ZA30igasqp/x+eYnoh6Nw9dVnSbxotzICKRcUEiNyV7ETYJ6QQfWQWo/DWCgLbh3tdcmREsVqyH
xRH3cn9smuSACZhNm6u5m8oah08lw3TnlllwGIoIgo4VO9pF5Nv6IYsaIp90QCFdtdzCq9EFRxUQ
j5AwNBaDBZh1MRmef0hrzX5A1niEIWKcDM0tL/nx/Y1GS/xFUxi4pOtav0TWHw4pTZT7IML4Si1b
zHG7HG/C2lWrvlFs2aJuWLN69TcNoJPgvzvrr/A1Bu1/vrOeX8vXv86EBl/z884KXJO5T5KgpvqU
m+VX/ZnxjnkRDjEnHoJ2HBF/3lndX1xbcrsjhcdc8x3z9nMmBMlp4Vriljtz4GYk57/Qn03gPF+P
KZj2HIqLoffgXmH5z2j4x3NDXTWZtIDtXpYzOkIYLTsn6sRw7oz3Iq62/ozIIt6y8svuTe/8l8hG
ceSTf2wsP52t7vdeX61Qii+sCcnXajN4HmSB9ACLeJRuRt+90tMAyoPoDHCG+paezwtlWqciK7Zu
4O1IPtGliIXGtSm4rgP0WkbCW9vi49ia4kOz8yPTM7fMXgYXjk30TCuR49zKWo8G25+KvsLMjPb/
h73zWI4b27btr9wfQAW86SaARPqkE10HQVEkvPf4+jfAeipRLBUVdW+3OifiFINCMgHsvddac44p
EpdrU3bfGqVy0cjpWcMkterqHJWV0qe3iT55/kiO2qRZlwTBXQdDgr6X2eOkxaBp0kJEjKi+DEUQ
H+e5K4nR5Dp4crxZqOF2doENwmyTCQl4nFGqwVAOodtakdgSOFbuOjFIXLnk0NzJhuUkYWVHqba2
qvQrKafOkou+KnsgNxVSILuA7j7OTMIMkT1tSDb1MgYMWgsSUejUaiptia3YKyJuKgkrhU+6GgB1
Trl+YhyGBNS/NejXFcTG9WTWrS3kPX8FNqqzmerbfGC+BlkITHWjpVvTsE56othKnrd20/qPTWDe
xIKpbSNB2aiTj8UPyFmmjhzl9MxptHhYgREaFxX8pgj9BiBYJt5MJgMsY9S2WY47Rw3KKwBzm5Fz
hR3i/cLm0VR2ETX+Vh96ER8mqR9lbK2jHHUHQZgTsCUGm1qQPNdSntt9JQEkE2b5yqokE/lm4oYa
5gNBlEJHgLa37geRgzt+ruxIAzXf6p2gbRBjDvbA+GBb0u0bDYAwvUoKpC4bsdcWQKE2dRMU/rU5
mEiw9PAbTpPSNf3E2s0lEWtSWm/rKrhpROSoYitvVAGaFKAUlwRCze1pbJt9XmArqY/sYq/FSPNe
nYe9OPb3ZTMxDJ5xccpVvIoQyNi9X0IRNUVqmvnQ5SNBkaJq12Z8ObdmD+cvgPKvHZmI80oIt3Tb
RZvVfhPLkN70QD0bEIM6U1prEbtho9J5BpXnIVs5pDrMEdFqUXL7515MvhD2iLlS87eBXCETgAxA
cFQVuXVcNOsozGHuJ8cwIN0+DQiAtqxjnlqbVusLezAIuvOjL4UwVXYgBEQCy+I3JSpv+8R0hCBF
IWvK0lNfa64gCQ897T4UNuZRQfRnS5OeXNJZfmxLtjzJ+GbMzX7SytMsMZomAZJwTe084oM45nXm
pSI+TgA2e2WsbUIBRAQ/4RXEmiWgc3qUjZtEcNXJ3JdRtLZ6aNrYaWs7h14e9ZQobZJempEhoB6o
H0qhvYpJe2Hkz5lB8wtbV1q8/b6TEbYtCPoG00tB9kJcYcWDlsrsfJWG1tGwrK3RJ2ekwnaHCaSm
V7bvDXRsSTY/WjoDBdAKNhK2SgNblwpxYLd9deiGeWuV0VdyIAk4kPDMZoMFkTK+blPtq1WHldON
HKfyyrgNBGIfpcznJS6wySthC8CRtXBlLUyqJpen7M8G43+1zJJo8M877p6Yvb/vuMvvfN9xl6Qq
SUcdrxv4exai6Y+Jr/iHZKEhZuekA/K2rX7fcSlY3sawElF6VC7LZvx9x1WpZfDKiwjodeJmENv9
ix33Tfr2oy/IhmvREYYqT4uB2CoGsz9vuIZUBqxsc3syGvAmCSQq2FdLfJFRqZZn9OYTQM9hXZVa
6Eqk/qrCLmvMDpOlsYSrRfKSsxa+Za4hDQXiH3cxlMfyLZetZLg1XOSktZWIZ25wTwEXCkniBG80
N7QJQgLeyLC6nHICy0vRp0IK6ICTOE4Ca+TI6hyu27fzYUVuVLdVfSEDdCW1Rto8ZGQLMAQZoShh
xFI6vYmatZwTXbnLsmEuroOZdgJzWT9mQFUEtWeRUuIQfRfgwiF0ti6G2BOSqXKHype8PtEldyAL
0BMTvb6F0tyhvLImfXaVppsCZ5KteXTTDisYfarFPkDikoBztZz1Yzc1YeGUcqFfR7q+8CaNEmsY
SmwPhn/SXidKCs4Nokx6HtEZyl5l8P+noCnu50G12JZAXcX1agwLY4tNXRHd/9oNb/LV5ZT4z68o
6eL/40QvwS96Dssv/vWe6n/Q9MQ99+cx9r0yg1cY8/ySoKLhdaEh9+NkrPzBK4Si1DDYtmgLvOs5
yAvhnkYEONIlUA7l6794TxmdfDgZYyQg686kN6sS84iA4ucXNSJJsgnTVjniRWPn0GDxYpLtdC2h
fiMQEbJcPxs14G2xlEco9GSGdcXixiWuV0Fv+pSEua20bLMi6ctGKkkXg9RwRo7fmmDN0g/Linbe
BcrSJKuWfhmiX1pnUiNCcbeWjlrmK/4umXSxdem8xdJ1ZFipuicCM21gOQb6cKyVkkiFBeXS63n6
gvwTER7ojJTdzuxiT4w5VVj0PvqrtprarZrKDVTHOUxm1xen7hH8Orh5owrFvdxZ/r6uqhhlXc7Z
NhytChY/MHFMANFeayf14PtzyRTL8q2nrkFauFIrf5g9Q0XYmeRhd0Fr8ol4mEcjCZ5jHXs2DW4A
Rbr2UragJMk3a+n3Vuo3prp0JbEBVAF4slnU1m0idI+DHug0GsWIlN6E0CPTItwGZrZ5J6FNIHZ6
8J/HSO83jZLTuGAsfxASOdskUm2cjKobt3NZVh51TWHXUNXp9ObjMmal9VEDE7B6/8jNLR0dg3sz
ND4K5GxvdlZha35tHCdNm7eY/MIlUy9FNhp6RoR6pQ7QgyiTGZPHAFDOALZIw/PFVEPBM/t5Q9v5
rMSR7k0+cH+hoRsT+GgsGnW8V0OcThAyyVci6o6EN1zNGK/bsB4Y/RJNTurMiLBCG52a7pQbk3B0
ppxIroVBU67I78tfYlGtd1kV5XcMNuFZRNW3HLHMn5Ej/x0spE9XrcNT8vKLg8W7BYtSHt4T1h/J
xGq3uOV+HCyUP1iKZLRVtCmZhbwb71jQdMhTAqDGD0XGQz8OFuYfOj1STgHw2hUWwn8VoUEE1IcF
S+PJWUhwRKSJItrwDyNABhtsYVWunZM+Dfbgoiv/ehyTvNoQaZB4w1IeTUuhVFExgSVMt2qN8EZb
yqnERyuULSXW8FZtxakprscOma+KGHOlYA43NQrzIUYDmgT5TrBi7Wgsib1jKq71DJYow/i1NZsv
Wtwz+J8g8QCwnjHOkHyYj8M+ztO1YPbLWxV3V23fMBcY9cd0JDGsiUPLHTBjp2KxmRGMDHJwVUk5
MZk6SQiNjLolz+pNO0snq7FeAPNcRop5nitzy/z9GraLJxTNvRCY5T73i30VWts6VKOtZA33aUtQ
rxBeZ7L2JYhMzucmOjA1UUoaiMEDDbytYpYkP/kPMCSeOpJm8RFX5EW0/eBB6+Ezk2FBF5y4jhof
t1FY+4osjFVSyxiN0lOFbxqjekA+ofpUh+25Bbja8kUDjijsuRgArfnlLjMSw2bN37DvIcxnKQLb
T42QQ8/FeE3fAj23Me1mX7g36/CSLCnfDtt42wWIeCtKS9eaQpwUC9+D9E6wccWGpu0DomiP1iQL
mELCWjClsx2U4XNDYIY9lZLmIJ/2gBPvUgZgHsnyp7yEkTa0aUhsYX1b+qHqKvVrRwjeRk90y2Wy
w/Kl6Q6H7FdhRPWNhvFcLXbIOULP0hvVjVmbwIWsdANQ+DINmg2xHuyHLLtxWxq2FgDqH8VgesSC
sDMD9ZtBQxfNOLsLWpEHFT4YgKPHUZwvKyQhTHwehhLmRd2Gr0amwpcZEkCfDRh2Y9okRIhAiJAa
jrwD6AULXoakMTwqg3Usd8+w6Gk1a8qaYu+ZGFZ+HtcLXjbSm689w/MDLXuGWdliYWoRSqbOsBib
+PuB/UyL28nXIpxPPRY+QvxMA+wP8UvcKdlA/oQkPAVrxzc+I2Qm0at1EqIc1hbpRhOxqkJA5RqG
m6kXzzMvwyU7hUHymAkblL42+XfyTlFixYaNsFKqhYMXlcI5DjB9GKNYuApPG+lIlZIgF59wZCnR
uEULpq20qoh2pjmyy/ba4MKoaBFXgvER+349ALIwxeAMewQpiywdlY6YGqreS0yJgdOk8anSMabI
0h2Tj+m6lsjJA62Pm6KCG6owZpP8mt4ImSOrWlcScAD4UlRwxrhQFLr3vLMmWlkvky3BMXIRQcPQ
9ScE0vSrCrjcwnRMZIAtFio2mlv4GFLkXXLUfK07wZPAOK16pd7meqcgPzV3AlDLHR4W0ylIH11o
DTXdACSHGogtl9wRfaVGSNLy0ADlAUN/LZQpFKh2Fp8rSb6Ps8xfW2T+ukM9mF4+k3GbJCkba0ar
pBFikeKiKuhnLvfX1zOQg/6+YiNPh+EU8UbZw0zcqlVfhgN/tShoayko9tJEsm3mt25hYfEnzY8p
gGXaY2gwFDc77hCRDeA31tDHpnWWZ5ehFhEPtwjSYSHtzYDMa/CXXqQlDxAgvE5oruek71GX4ykK
0cbnUnJsuhp3Z8epEnqK55flhmTDV6TopIpSlTogh3lhUZ/JR3PMbrImTg9W2F/kfKNMdoHfZgUI
7wCiNVObu0nP14Na7hGkv4yFLKHpy3ZtMtDvl8jdBeXzX13zZ11D1f95XXN8al9+Vdfwi9/rmqXj
j6BbZ29Xl5E6P/o+S+VHmow9nrAr5e0I8aOuIU4LCz5DU+0vHt/3/oOBdMTgCKFJ/wtv3seqBpcy
CdmmjECFVUt+E4u/0wk13QACVZ8GAqAu6kB1p9hw3n0pv1C+8ff9LHxCbM9JBBwAPAKSSz4cQxBz
JErHpPTcqDHhSreCeLa0y0bdSP7F0J8ayf38em9ux0+vuHyid3+TPJJjCuKoO8dlJ4DPooUOtKlA
rVAERXM51IW561u6lHoCyafR13pMC6LyR19zgVxhGQ5y/XGULXmrL5v6VEEjkRoIOYoZHrQivc1N
GX92LX7rheTVGoX7fM4uCuyPnAQQpCJQmex8SmHFy6Hp1ikWxCyIgo2a6F4zoSbRNENZB2VUeP40
5nY0YsM2alZDqp565RO+JAyYh7royuz7PUYGFN9RfxAqn7sUk9Lqm+z/A3rIiUOcPlz6jB6Qoiob
crcv+nAh3tDyx9DIDhXsCaACWiB8qQUUOH3+2M8Knptw09OvpZnTeORwempp7pC2jitCAAYW2Lph
2jMdC/gI10YrWuzD2tTk1wVZuRu9Kukxc5asgKe0l3Op8h+6rB6Lcxqoh1aUlgiVWSMxp52drFOq
r8iLDjr1KYCuQ2lE2zGhVrX8kyAmp2nW76SU2UQlgP7mULuu5egZ6sW3VCg0d9DU41iq6OxJ4ErK
Q+uzK3TTFjvfhUhGeO5XTjROh2Eih8tEetySw0UO5rBvevGuYtCEdT5YZRC2cIgyv86m5BR1+UWe
tDTZKbnmZCcSSERSJhtV0nJyqEbY3U2fiCuVEG5QbV+oyEGtCGKwlrOy23bd0Hopil960tV0SPFx
rUG07mE5WcJwVkPzioVdWkl0DVZhWK+lMtv5aXSBif166HNUmdwWbF2uyaTayNpvKIrYSvX4Ug4G
1+oyQrZGJuOy7iAWukSsCH8QsoU+qN5Q92uRErLVSVuQRKcoimuQgBeZDwF3GJt+1aZJfzVO4ZXu
S9t66ByzNO8hZNijodU3pSgoNof311wB/OVbHiw5egA+5S1jCinpX8SBY3qnOxVQPpsVbAuGjKwb
jB645FYofS6IlTmqxKRWWuaNouamBin3o8/su9jUC99nbtm/hBOjRkceBBz8OmegoF35MApXCvzg
ylJu1bqxZd4Qu0rIjcm1lJMdPt5tnebrMgJWpEzCLmnmG/Rd4WpK21NUF9dxLzpQmHisfU6PnSkv
BKyn2DCPRZUSwhMzyhsa0At+M2SU8VCA3paZ/8pivN6fbHqHp6Z5+VXH/d2MG8v50oujUfcGG1+0
p3/teNIfyvKfmS4iOXzfcX+Dz8CqoZuHCwsPAjXz9x3PYjM0cK8v1THxDvT//k0nb7G8v9sf2InY
OWWV/5UZYdLM+7Aj9R0rdlnow3kalMZww96HNt0t4OlgikKQV/6+nZNAYTPs++RW6iSgE3Quo3Zb
zpG4GnsG04cGrfrsxqPcQrEZyrwgrCOHxfM8suUhPyxrf3bboOZcj9JnM76RbCxxodpMTYO5qH2j
3fjTPFtO+icGh94VTe1KD+SZTJc3YM5coE9eGR3zZTeTce+6qiHB3FggYehNEsnrRHIDvboPVO1L
KhHhsia2YctggFN2rqsEoQn9tBmVqYtfB8Uc1wEx5iJJ8YSkuUv7dAMROtgJvpl+jcB1OFaAg4KI
qKl3hRSNEvnVFKUhKgAxEzCrIJP62mtMumaylr0WI35IRULqpDaFr/ogqCy05ivlvbrCcEq7r+Rn
pcC2BfERSpVRDPswgEFnLpVEEGXyCoknTngYP19Fw0goTdoEHCw6wVUt4hbtFuWoNEXixqxVim9S
F58kc5HjzEWwK2shvWCRJqZ5lCzPLPOXxJg1T0mVwAXYoXpN0Uau2BDjkwQGdFytSy8SEWNQZUFR
LXvi2LCjuyZ7zSowlZcQaNaGkDgeC7yt7N0qkN8iMFaiLnxFaxBs9DntbEpK0wvr+tUYfN8r4Rqx
jNPtcIaawIq0lQ2vKLJmZ2li7MhCGB/5zFiwC73YJUNvR10MNdHQqHOMYbq0LF/zBqvI3GZJswFE
DFixVs3V0IFAz+eaj2kq92meyJz142BV1yqTyAHWZWEwqGUIC5sIa4MH57i6xIuEoDMY2ksjogyf
J6nCRzfhE+IslK4BLo1u0xfgUdWxdEfJ6MDnkXrhj3myYRyOZ8KPs/+WzT+FQeqn5lRmIO3T/6ye
6q9Pvwx/eOdQZfXkJK4yboDRhfWBUeZfq6f4B0umaNE1hNnxk2pc+wO3B0mPpr5ogZh4/Fg9EZTr
DBffJhcLG+RfzSv/Vi+Q/Ssi4iQBgqaYrvDp3p+tlVASBlJs1VOYPc7NaRwf3u0mv6gW1MWc+/Pq
bC3MMmIvJFBMnIPZB95fofMbtfW1sTt1s+bKcvk6leop9eMrVHCvLYCDGnCOk6mEgElCvkVYs6mr
2O0M5IW6oBdeAaovN+qN0Ig3cReuEb59E1KJhod16LSaTDBq4dUcpmcJWnSCFKitMOtlDa/CCOwz
4Eu0tbDKprUCEILkX1HbjuQqvg6aSAOAsSeyoMhwVHJlvlXykiNLueGqDUryWgyE+5jjDGMJ9bkL
x2zdSuBKSFWo9vQe3xKvzkZJJkNq1vdWzTYjyUuuj6oOF/GIBluRi3YtYdJdTXW+7+voMZHlA0J+
NJIZZ9wAzHaaFxuEOzMqzurG11JPmSMi4ukcIdx/FMQBIas6vmaJcMbGTwskm8m2VE0nKNtrI4Yn
KJZbpbIeE1HY5GW3azG/0vqdLsfE3MUzva9grh2W4V1lGE++RCeqNeJNQMOnS6KntvEJFjLUpXuz
QWx+FmZ+PR+c0JcfmiTYAW1EWakd1LzSnFrujynpkHqmwO6g/zxVmFBV6zaO5nYD5eii9ouE82K4
byOorpXcYiqKd6qg3rQpaYTyTA9MmdXrCO+8HTZj6HZmtJ2wGiKj1CAqx7qHdZRuCNDyTqV3LKIw
EZGzII7v18QY7/DD2Jba36mFAsVYO+kNzsB2PieRehVmADA6P2No1R/pymyLaUCfG8PcnCgbrGFD
MtmBqfy1LhXZqo3TOzCct5Jv3BEisS5qfWfO2loY60c2XLbu1oJo0TwU/PFIPUZPmOZvSWq4kxHa
ta85SjIeygH8RlcFJQVGzj9qArJSDX8V6MYjb8E6juKHwF8SJZs2XgtU0EZZvU5FvDEXwrtSPna1
+CAI4nVjLEhN8iv60bJFLf06J/5lkhGyFU7BgZl2AuQABKUqGDfhjJ4MFLBNPRqzoWdfLYkgSYF9
0jVx69Jhwt0cQWVxhBKmpaZfx5Z635VNQK4Y3L60XN6eeLgWpXgvdEBX5WqoHI1EsKX/ejWaND47
IC57hD30e3Wlca20BKKrksc8NECAiLZ2IyAoIkEweKJ982tttfBZkUcUq77U0cZlde+D+Z8EpAhx
1EensY4QxlKdORZfBf7fMrBrIUmcGMSVQzxSjQJZEN12VptV3vrJVWHqZCNlnbhn1IimYpJXbVXv
ycs7l2rZbPMO47ekMMWQ5KrZ4KGK3SDqDhzUqF2SMvckDhH+OFvuPNJF69S0dIu2KtiGo/RspGKa
LGkAl3PPX+z75bM2T7e1rzwZSbVhfWOoKGW2JQkCLBfh4Ccy+rcUQH2ia4z66MpdF8u0BeqNn951
SX419JDXSNk9q4TosbLYdawyAJA6+qL53qiIQ5Gho0rGcJl3mLzLpQ9ZTLsAw28KDI5Wul3O7SGN
BS/UwqOYindJ3aNUFHeD5adePiaPauxrqyYivtz09b3UilDS1cj4Wg7kkc9ztUQCVEN2k0jZsMaw
6SlGAReJ0YodmnOCzz+qj7OZnBS5RJ7RXEqVjnQci+eYMQYFwuSw5G1lye/Aaej1Np36Lws/BK8P
LQJ6wU5Td6E70ajGp911u0HUi8d8sXWPkfCK2hHdZUe4IpejmVrq6rlAuwHzPDEwf8Zh7+VqNnks
/eGdX3EFXCU3OZJPxOGiteumOt6h5zzliILs1FDMbZfIDHgK44bOOdRkNV6yaGU81JPq+2tm+Te6
P92YuTbfz34OL7JDOad1gbQyhnHdIuJGHQNStpiqwmZeDnK917r7OkrN9ZJ4DZI7GkJ2pbCFNptz
i4dyrZgZuTRZ8aD3JfJL4DXG5HZNcRYnY5dU0xcxjN0eUBsgmPBLl8o3ZldZ+3Ea+20hxLVT+Ckh
leh5VqUoPigM+xxlVKv7TiexAdAUHPyQBx0eERJYX7mXlzwxX9bGtdkJFmMRcfpNc43p5LvN2cR4
xgkDkrUCPtRSUAn/vDnLWUZZF8T5qV1Slsd5q9F7Gupm/fkpYJmC/uI6dAzpg5F09bdDQGvMiPbD
/JSl6bHR5S+sShdmlj2yXNawBCxuwJRu+rFcp2ayaeQQeL+Mjyvfs1IdNNSpsZVchn53pVeiq4Sd
3VnMDwL/peh0Wnq8AupsnnQxePr8o//yk6MKMySwj5SzCLzfH1+0rCui1kry0wBrJ5huxDizw+Lw
+UXeStQfqjHugwX3UqHzg5cYjIfx4T5A24JYkTBzKYOwWQm6ulWoE1eijwecohXuotDfMyMpLnOL
Z9ASt4M5ACibEAv7CuayOKP9NHeXzDat65xdqSsgEovAM1SSQW1NJjtEK4JTxIyQvijfucx7o2fk
ck6WNl9pUvqUkBUgpUHkzUNFn0XS3RAkg5u0yrNQy+tFMGazKsFgRlBjF5XixeRHwiorOdqE+raa
5RfmqE80pKjwSGQZjfQ4zQaaCGMSNqI0xEcxJJZzHjvqRKmF1G/Rn5ai4NbvpOymGjT2Dyk4aFlJ
700v240uDW5fsMVJTKpoZiduKcpnhu65M850/iQlPfjiU6euO2iIrIsPpoBVzxikzRSrD6lSh25e
5jPJeTWJnqIzqxw9Rl4zB2JE4YxCtqnbDPy1NKLv7p+SSA6fafV6Igx9IvrCo1zMcAKaah0pJGhB
ob3KSEc6WR2tQH0e94xtj58/DgTDfXxfeB54IZeEN8b9dPR/fup8RShyfoaKUJKfFKvJnLns05Mu
4LlnPX0MGo1AUcyTkk68QkRoJSvqkW8FMkSYGBs5aI6IrlfDLB+1wrxX1DxcN5lWrbtOpETWZFIj
wW0AaetNgrXUbIMUBhodxj/HrAXOIyxEYlbQy9aqa6KpcUKFTcFu0DUUpgvomqSMbH6uC/3JAmRo
91Jh2HUmf9HlibMz8j4FEIxeIBev4S5BW9HvY5rYgy9/A5a0sDNYBhgu6/l441vxwWCWXRUKxgAm
p+gQu0m+1vr+mMThNcaeKyh6nj619yYAcsJ+CtHF2cVZkIB1xh69bS4tDCUWHGSP7By68CTwTNil
pTxIinAvhfgYqnZW3NBAdD4LKN/HwpXU2hPFeGvhq5ELg5Sr3iE0TrRJPtsbgE4HCbmDhC2+S9sb
BemlBRaqKaYnZWBYqdRPuaG7BK4eEwylONPOCIQPRq6vh0IliSIiPjM3bNmKLpNSSLaTObtFM7l6
irC55EBT6AF1CS9jL1iXQ9W+Iogmw2tCPt7FUM+AWuCSdWTEaZKkH/SGEaZScZewUbqQDexhOaEm
HSIpiWQcabgrihYac3ShhSqxNMVaToR9xi7OQHljSikm0GZNeya3tipzkIU8kvrDumV7R9RdAnKo
YidF6ImRbj8TXGtYEGMGKRjsBpU6xiVpHSPl18juhS6/CfJ2HwzVITc1Tr1tKpzTcigJnTF2akCm
K2k/BG0Y3JsykuxBhANTMjVoqBJSFA4KceIdnWZ/uNA114B2NpgnOEI68gB14xv9Hb1tOD7iUddA
u4y+eojDAQWK7/v7TibluNEkCQKun3tDPzsl54ZNMZG/PunGpu45hRjF4pin50L2j/Sbre03b6ry
Qe8rh9YUW2XSMXxiFNMcCS2xxx5A4nBO6qNExfL52vCBcPC2U7xbGRaV0vv9SCapmuqClaEoXhDo
9+MV7pc8uB/UPzs7/wiWQp70Yc9mDQJErsokhRvEQy4747ux29Agko/JuEP8T3400J9myZe40bBd
bMNC4JkbexCFNFCBsUhHc1HD6DGU4TmmHTnw79qNJLyqonk55grZu0p3K0TFuRCN65TjG1UPfCR5
IdyPTg4POWujxxx6hoAd9CroYPZrYdh6cGH2Gt4CDhbuJGEL4Yjn5a1i3FmydV3OqUMnZdcp7TZS
ZJST01YrrfOQBPuabdsQkn0i57xMwkIUtMdSusvK2o1SfzuU0ipOYUO1WvY0i5Nmp0PwUI1WfScH
qATkRgl+863+3G/5c6N//6Uuvex3X2qiqzkBkOZ4MsfHcP46mbvPH4/f/fsfNg5RSDkjB8l0isxr
bDmrSvny+QX+dh76+anQPzx/mZ4lYkJ+70mTLyJwyHxNYjjZn1/k547+928JoT5HUkljaP7ztzQa
zRBikQFoA1myfW6HjDPJl2g0fnM35J+fcUYHjFoNA+Q1zS+OpouE8P3tmOIoH4K5lE8cY57Z1Jyb
dO07gtuvIvtula/utrrdH75eRXZ4O7pPqTt95Y1uNsr28z94iQr4+YD8YcP/cAC0QB9ggWUZade9
I9qiO153HvKTteWCambW6PE9ryUbL9MqdC2n7F31lD9//im0X32K90/nBx926jepKeOrOd2PW9lF
I7W2LowVk/5V6Hh3mn3QncyzTuF63OTX2uYGNbQ3blj3VrOHTqhxaJ05liMcuk3uNeeQeecqcG6L
VXcSbdDjW2tb7MFLfMnW159/9A9y7u+PzI/V6sMXKMhNlJZCxHO5IkF93byU6/JGcsAXOL6DCM7N
19mu8C6eD263JeJntOMd4IQdEeU2m48Lzfybb99+/qnkn5uff/tUb8b3d687/KS+NnQ+VbjFqGHP
m8zzb8iexh1I0tTKXyHfW6Weeao28iONNPfz6//6Zf3xHn1YbVhqBJjF03gS58I1hmE/CwnRXnDx
Pr/Osqp8LF/gl/z1vn5YdczIVPp+TqcTZ+pVPzyL42bQv06KW4kIpcv151f79Rr319U+FpMCwX2K
VsXdKWS0NPlXZXD5f7vAh5pPGfFX6sSnnEAHyzF9QOt3Iprf3Jg3F9G750LISjM3Jl60AkJalqxL
+X7uzN/cld99Tx8Wt0ZKIQkbcQspnruCso2cZPvzb+p3f8eHB6wrZpTyTTadhn60Ix1+w2gjnfn8
Ir95uowPq5LuB8JEc47dYNRRqcJ/SNuzonS2AZgxHuRTTyDo55f85d+lYQthDEx6yjJ+eb8vmIqh
+GXUdieVZDGIB0pIk8/7/Bq/vD3vrvHhpUGp2whVqI4nLQZ2LF5m2W+6Cr+7wIclcU6yEbZj1Z9E
Fm2a0RimfvM1ve2Pn734y4by7jkOI4Y+fspzTG2wwgmz6zfJkRLB3oFfcIMz5I0/7Qv/eCz9IIP/
vqT+9fa/JXW8u6RE/w/yR8gedU9jOGdVhbazYlj/JB3mbb+6mFFwsnVrLmGEK/NSWF217rKrXzxU
F8qOqh1PrDu1q01uh97vPt4vN/L3S+HHJyeqB1Hyeemk87KRC6vGS9VtLtmrxFOdu3y1E1fT/lX8
SnFWf5n2kDR/s3rJy/L02U35cN97odHDypo4SziAxB30r7K+svapc4VF/KB4nfMAJHuV07Fd1x5p
IrbwmxX6dx/howsSpKOgYlNsT8K+WBHiSCLPNyS4jrHvXsZN6WYHw0PR/xo8KPboJefAiV8+f7ve
Cq9PvoWP1LykVzKV2GCYJetxDXBqFS2num1i3/TbcbslmnI1n3Dw3onrwsnWpWdcEKTmdG64HVbh
Y/qblfKtMPvb5/nxumsfCkVTICyTUrk7Va7q6R7k/nE9r+dDtJdWz8HWXye2uS03NPUOo218cUnf
4xa1XrK+jpzlkPD/Dwf/KZ4kVtJ/lvken769/Gpmv/zWd43v28xeBqeGltdabDc/zexRvsJRAsQH
mUbnR989xmh8DVzGpopHh776e8WT/oexWIBMfoE5OIP9f6N4Ut+KrB/PEmWLCW+BPjFjdRQF5vIh
3i+79HWnRm6l4Oxb2dpY0ifbBihYSiCl0qZ3JQGV5Uik/ExkpbFkV+YZqfJFRw9WelGXdMvB0uDj
DLDdjHQ/AnhbzVYM1BgZHvOty3xJyWyXvEyT4ExxSdD0I8tyiZl/lrqS+B+T5QVeRi/1DzrxmxKs
dW3J44yC8FG3Ukfoh+C2ljtxkxPeGWSDbxu+Bry+lQqakITiRahoA0l+IDA5d6olB7RRSAQd6H6v
SQ1/7YfmBTMzCXwYeFyziMG/ESlaJOEl+arU68MtkAMYv0v6aKFFyLagaGhLMmmHiBU6bgjH3yi+
msSXMk88ZZpIBCnUCqdbMk6bUroQCD2N0+BYEIIaL2moca0RSBTJF1ocX4i5Mq6iKF1Ga5j5UtZ9
D79xT59neCbOkymZtChyQxP5TahNTirGN30/XZCqSbtLhHPXKHDlQTJfNwS5Zpl0SSxDTSQE4cgC
Ya8hoa//j73zWI5b6brsq3T0HDdgE0BE/z0olDcsFj05QZASBe89nr5XSq1PEq/rG/EPenBnUkjl
gcyT5+y9V9iOUEbgItscehcmYNhAo6MeFAwDGaiCFegsUBhRA+sgVOd7SOLQhZg0rjpG+PiAYM/i
Ro/XbjJ+RhrG+LAPNU/NVcwhklprEJGxKgHZigqgremUeBN8/zJJ2m1IWPN6ClQIuGlG4Kqk4uaS
j1sIZVPIMN/IXhcAdCdM2ZsmMKQSLiTOP7DhNQLchRJUYSNHkSaA8bZBRYKxDZ83DbJPrRuyB9vo
mciWylap5PmOgH3hJ+xEUJeniLHHkiedoHNGDMhJHFEBA0e+1q56yQrWgQYnPhF+Nl6yZSyJwk5n
W1dqA9alZhTvBd38ibm5sSibju68pBLHkk/cSVJxFMMsnifnZGemu3RG8V6XPcm/rnaVDyQ6GC2X
smXG4zLoybIpg8kh8Evc5iCSe8lKjrKGa8ix023bjOQkB8OtItnKCKk/2ZK2PGS+FKHlmIgki7kC
yuyruLcqMzW3oKae3Vh/UwE425LkrI/NSYFjw/fsEIQM7nkOq7fJNSVhgXHwMm9cccE41pp7baZd
AS1ashLGGmqCMQC9Dh/HgHteTxzmlvTycfyN60kyF+whex4khcF3ItoyksxQWdPDGMBqEJLawCyW
9DA4DvSHJyieBVwnGA8DsAeIGpijJP9BCwOBQRjhWSXpEBAy72ZwEbUoj53kR3RF/iUCKKEb4S7X
nUPvMHwCOIHdeKMDoAgVptSSSFFMCNqg6zFsqM0byHr9UuN51xUoC0cyLYir3JHaDeUi4Y27wbYB
f4E48IsAh9FILkYBvb5A2r0nzORVV1FuVJqMAxpbADtTL/aoTSBiBKPfebHdto+AVPpiPYalCYJG
QVVsMK14KMZxeB59HcGEUJu+3hqRY70ESWHt26ZMg+s0SANn11aK+eIHQsc8bOGnzNykXWKXftRC
kwb/qHNp+EEKJMaMt2ZBd3KIOVMNXHcrqxzx+6Le6MwO/QsCSMx721DMspGPi2eIAsDchX9x5vk8
5l3LIWmePTyc1ynduvuOcNFVVkYsT0mqr7og/hLU9qUWuCWVwVpPUVNuydFPPZRGN4bbfs6m/qGy
QJxyF28cn3QFl5lapc7XrhkduoReZlmqr5oUQBX5QChedqMNWuq1rd9sK6BAXGv+eUpU3ZtaeAEK
CbPMUwct2eUSc4v3+tUu+nBl6CBw6WEcoyR+02HjFvH4NoJZyaupXMzQc30TjG6QIu6k2Xqnjkdy
ipZZsnVw4OXzJupI++mdcyChvD10XkwYJOS2O19ie234vRouPNLomcCkEu5rZ8NtNoP7DSX4t5YI
4NxAlwJMPSPOJiJ7gnyKCWKw0aualw0IvXRowlFsobyt7aNfVteFBA6TxheSAa/cVaF+ZaLeWFoB
KO4aiboLrzgRxXUBv1ghdsgrVPEYO/2nWCKOhzE9DBJ63I/twSdr36roEkNFnizwyDqc5FICk7u4
XEcMY8vGAQtPqhHc5cATSoG6BEttToicx2hogXdkyVT81nZJp8JW8i56t14PEtlsOO0hlhBnvKNA
kKZxTRTn3mwBPXdRiA0R9jPoB9ZnTKtJj0RAiW6BA75WHZoMFKEJ6LkeiHRi8FOrMPXqDr60DWg6
04L32HW3FgDqQuFffZDUbQ+cFkR1poffzrP/1pNy8vHn9eRzkf6BY0w+5ns1CdvSwrDtmBoxMy4q
gp+qSf03IjSlRt4mLoY//qgmnd8Ym1LmWdSLGm4rDpLf9fPObwZWb+HQtMbtheXrn1STGIV+OS9S
TUqyJUUrehNbKvnlefKnEzXmGLTdeoyMqvUpm5x2afv1XavjX4z1qV3OWl4Q2KSlZ73Nstum8xFj
qlq37WZf8zSgrAFrG3A107gibQPNVprBnLfjd2MWhH9Rvh2Y0r653VDeFVPRrJIqHa/dIKCiyxiO
umzW0Kz6U612NJ1BrPdRWJxhGXKsH/LgRgsgRHXUwyQc+tqy0bT7DInmNk2NbhPjeC6tbkdyA9iJ
juOeGetLNDrROY1Aa2LhQ0EpBoiMzkM+69F9ZQ7FKSQ4dN2ybHogpphu8xWcaWf461Ft3W1VEHQV
DBycETVl26Ek7w16m7tFS8B0NbCfCvwrC7OM00XeZceumjaJqzwPzCIpnDuPAg2bTVju1c5cJXag
rvSg3ye1cugL54Fv81SAlyOZjGFtIZBR5Un4YvXmK6CoEa148YhB+7G2chK2wgAvWBDdtmaDEiFV
BONvzfZEEGyTGfWoIrJ3I8C9PAIeFTitFtjTu4VLDbtuFStYh/6gYsWZAWilhGOK8pbU/Csznd6c
OdoafopmsTQ++1NzDcW6P2JAkC5txngVw1hjJiVj9ucrq+AnbctxWU3DdZIZb7pRP85D8knxUfEU
YbhP0vEsBlZGuyQERAvwBSmDvkPxwmyNNK3lELhnlHnk6WXmFsnmsRgzZ1XQbltYWvhcBvPFNM1D
XDEvVsZZwd2WUNb5gMaFUyXO2ZjU2HhTdVQCO7uljLeJH1C+BhHU8EGXqVU3wB+sdwUbb9Q5qOuU
ac1OjKRFZhqofbrvZcqBLfMOAGwcDZmAkPYw43yZSRfIdLqJmDqnYsjdyOS62rJ6r3fIWDaJtav0
0kTvQtJdlE1g1Ai/U2UKnkhmvmSZjEfTnV6YTMsbuME9VDhbgyC9VCbq9ZG5w9su+QmZepfL3D32
z60mk/hqmcnHUDZb6v7gzTKvzyC4b5r0bSST/BLLuquJ9tNlxh82TI/j6BXWc3KhTc5J2UA9aBMN
qOCqONvQJBZYJ1uvlAmCY23e9jJT0G+tI2C20nNl3iDO6H2ddiQQEkVI0coBoYj4lUgpTI2nRvPP
yhCwU1FlEsC6QXBJsqGb1dgeCTsMJtgvpB+GpCA6hN62KJs4FdgjX2z2UobNHhhiuUsU8HdppGnn
cCiNpd8p4Q10uWCfm6BsOse/6ivwabErVvrkzgs46VznfUZNWo6XSYO4hWcT6fI0o7DVdX+rVi2I
t6YwN1Pgu0sVXcyurPJDEKqIcoPO2DcimPdVrCkbs0AxVlTlRShsunMy7bH8PZVKZlzrMboWVr9k
p5Dg6oVJuVeMwQvGgIFQXD5XRD58aXLE3yG38cWO43eG2y0+HNdo62/N1H/3T5MG5J/vn7dd277X
v49mkY/6aQeV9gg6MsbXtGk21/94KLTf4HBoKBWkjBHG1o8d1GWbJAaCqRS9GFJY2fd+7KD4MYSq
YkHTvvnW/oEDjZDq3+2gcu8mPM5kLyc7hvf38w7a67nO8cGdzgS4NGuG8PmqIRefnAfD8auDo3Jy
XVS9pYDq9fOSEJbuVs2sjeUkVNr13C2iULWOYz5WsINAn3aNuTehunvpZJDBprV0btkTtmPPdayb
yLbRpaPqmQJr08TFkztj6lQs9VNeYSEif+6SRSjw/aGgE4NyDGqxfZ4dKMx50auLoLQTLyrgCMGA
MhYdxxMvz/RLYijprmcdWUJPXqkkxm8B/hAAbXDm1RA4OXRbcsuLyuSG4Iz3Ialuiz46ltlQL2tV
KLt4VMZ94KYpYQ5ueVY78UIXjexPnsUnGgFL/bAklHrZjHm69Af3pJp8NYbO5hX0FzWZH7KuvHfj
6hCFzQuu1k0MONuLZuBUuRMfTaKXF91gnebS+czGlIAnSyrP0fvDZMvlLR0qT+k4KYRiXLu6/ykJ
jWZhOcXap/KwleqU6+VTHGXVwgaN4EVhBtHQmt7mSL/SCAtZDU55E4VB6rHTVM51YzjKtFG6fFqU
Ia/nq4jNKkzJjlav6rJAtzyuVXfY6CpcJc3F6zG/z44TrSy7JxnH4vhU22wlDdEuedeUnpkhIiW5
udy6VE5IMc3HsktPnWIE2HPLVT/q1rKZ3n2UZThm2Cz9QCZufensAHRoYuXL1pyLtaa2YHRT/dqv
J0HwFCfNMi4vYT2/OhWwRq1FyB6mhfBqdgnMg8Wu19uHOC4unZqpQE8pYSSidK7WVvo1MZsySxOX
cQgeWzK5KX6aQ1C36bJXMvwEgsvVaTDZI3KmSpwgk9ppHoHORSJQSMlMVLmEzcRUB5ADqkYc/MFB
sFoh8Wmt6JXWhgzfLF7t0ai9ZuQY2ij+vPVbxHID51D6VCZnIfqGC1Wby+VoBojY2uDW9m2uKeLe
t2wtp1YWBJ0sDdDzwzWX5QJOKWC3w0VQR+SyoMhlaWFRY2RC3wpZdPRUH2PeNMtU0S06ENpOlSUK
8usWORtlC2qgczEqu7pgeZ+obLq4e4ypdEoqntjsiFIJqLUs7arWAxLDqI76wVJXsSyYfFk6udRQ
BrUUPFHi0ctwa1BlDbF7Ner5bSTLL1BPz2nVqtQWlGb0d2IaT3VHsikGlqLCLE4lB9HvPZa13aT7
m7kj+BhPtcDaRwXoUgoWsiY0SHlakZX8mFMuajXtTkEBWavxC0kspD3L2rKUVSZ8pFNH2RlTfuKG
2Dtupq7U0VoJClRfVqodJWsva9eYIpYYuY0kyhd1li4GxDiLkIK3nVErYqN1t72shpuvdTGJsYuq
cc2znhSOsqysOfr8dTf4d1uUot4/3xbPCEeD999vi/JR37dFchShmupkm9gcLr8SLr9vi2Ad2DAt
jIXCsSyOOD+2RYMNk5mGYyEv/jaL+M+2aPzGZiiN3Dyt9fU4+g+2xT+KWCQyy8JxrMJkZe7xQStW
CSy+g636xEJoNJLmNCEYSiYQKmOlHnKbNAYG3yQUmnG4j/zpGXgT01s7/mRwLS7pfA32VoQpS09l
oNFVywpjKz6qwCPws3gI6l5MuHbVBjVrSDcKT7LQF9SY9auZ+tE7+f0+AVG5JYN3iK3KgdflAG+g
00RxxTm10aW6yqQtWVN97mFOk1ZBrnDjd65LiHGJLChG+E6wYP1FcQK2Qla2BcjHfhHq7mf0r9x0
0qqsGJwD0j4IFkifQZzXwT7ttHM5FySpq8SNDxfNmHE1uFvU3UezSHeIQ3dj5M+eJTDHzJpiETzY
d0sdvhk8GRxwpXIdI8K8KX3n0JZhzJHPyaHSNPSWGlhxujIkq0lgd6/xYxMx253HtjkrCZrGIaAS
mEwInUUxrLiBhbsgaVoB9G1M9ZfEaG+jVL1VhZYh3k7b/FqpkvlkmFCUq5IwExE+MRHxbEIUfeyB
p95Mg4VREN3VBLGnl3aAYJp63O2W7mRkt4qwhnXpVJAGcQIsawKiwTVzYk4FSAoUuP5si6Wu5eG5
DwZ/G5Uxvi9Q5O2oFDcCi6MrpMSYUA7DxXhU6oTKR8qJRjjcHPyeU1ea9w1sCTtMIukXcdYqdgUG
Epk3dnO9mEu7fLb8TlrAFBdhao4O3muwD/2NdEPWcz/mb2gQuOHozAgcsziQnI+yrlgNBxWnVHyl
42dYG+mgv4YT39MwEZD577Hgm8NaZjD/+fp3egWX+vvlTz7o+/L3NbARYTK/hVys5D99X/50Ahsx
NNMFANGmaxLP931KS/MM0xiWakdF8vk15vH7qcD+TZJ6TRdMgpBuH+0f9dVkSPVPV8nXvhrYBUAP
pnwXPOGvpwJw4ZYQijqfsRg/VAZjxJQiTjonsDrP2dqpxEajN2tNiofT8wH2IYlvHWtU5oq72DFP
RtHusjheVb3jN0vbzoipizhD36ckAK0KXb0ESl7vWuYL7pLaQnnTcSFyPNWMPjygeKcPZ+WqvxAp
Zl9sp9Eqo6K5qOS+LTFO3Q4Joa5OPxHhBBgHmfayDOHDV2NxN03KA+DGe4NJ40LVGXWoNWM7ZTqH
kbPXAN9OYfOpng2WRIJegli9KWP9mm77g943+TKE7YA6ODn1ZQ2518+/TDVwmBD3gG+SW6fXuIct
fTzjAX8l42VcWijEl2CxPuNWnJetimHUHZ1VoLYQ0ItQWyegiqhmFHPaDWOheBgaDlpnn42EZrkW
HuZONltCm4S/EKALR4K6Lx9D1X1WTJyoTmpcEs4AqL0fkggQSx3P93Q/132nlVcaGURZWXwhU2uJ
SfvG7eSg1yDbKMh2WjY9JE13UIr+i1pbEx2HiZIMERohf8S/KUrS0plLtlXDAmuEwlOmQl/6utp5
Vhk6Z534DcIaqsTrWzxXYTF4rYu7pIjxSWVEbqywtcxsUKXm0Sn+hNF3nxvatCHvnkpx1Dj86AwC
jG3X1Wc/pRdlEEsIeaiuSip76r1Na2HXWlDI72hOeE1jndoRi49R6LoX5v3aVP23BBs6TTplIWvZ
OB9fA8E5kef0itSF9SvJviHxfKGhvKpEUxGw2zKyoNekEcsJ+805EYfKUUBturXeheKYDganjry+
xVFvXtEhJmaPVidkODdeznW3DftxhjCbmkx3bEL2M22TK1GL0a8SV13kMKswdzRwHjhab9VOfxj6
VvOCsFGX2AO0K9IF4yN5LLSbWI5XoYWayO9jhfo+Nj24zf5m0jT1qhwN/QJLmbFv0m9cEwvKEOyz
hIPQWOmvgPssAh2n6AwwZfBINoOqka27thmW1CmpZw35G7Fia72PnoqAQ4ULPTYI+T3jdErPpgk4
eMz+2U7CXMBktSF4nlA1mVD/QclRGmOfpORGndPsPjE/W9ZyyHY/rZvX37aln1GlHzYr+RLYC4VB
Ng4rIWkPvy5DUxmMDXWReU6aty65nsq73P2mNPy3Rjf4Pf58j5JJ6Gvq9E9R8+kPZkDywT/tVfSm
KNOZtsCJ/LBXEQDI3EUW3nhtKPC/71U2MyCgbTR6/vOoH3sV4xqEQPCD/m9z6x+U6r8qRb/uVKSg
o3OSAcNckR+uQisFsBX79Xye28fK8SEwt9+qmD+Vbcpn+Kli+nqdqzAW2A1dnZeQ7+CnGRNkE1GO
xN+eOfMTqkG7IVo01mfgvz/9AH9wsf/6SZzfvc6HPbdQtJIWtaWdLYLVtPo42N+Oo3/6QfQ/uJ34
Nn58EuZyP3+SQKty1j0+iT7ai968t90v6BM8Vzm7Xc+0XPWa/rlkOBZdtwU9mOg9DtdBcK0XlzYH
SSRxlgdhBbBqCOUwL118O4BPHpky/fVXockb+6++cy6sn9+pESl+O9TyuzBW/gy/snzs+sjDWHwe
/Gjh+0yXpy+2oi8q/uiI6G8kj18TqT++AQ3CqWy0mjKe69c3QMys1vaqPZ1JMcf6p7l1ekzgYpEG
Usp8QRcsVLejd7KvR1p03XCjpYMgdosheq8qM8bRKlzoJb5clEUy8qAlbyrNnvTM2A++2hCLqMTa
/Whk8cZI3BjNpIMrnIqJIfqu7KaF3ldrrZ2WfTttwvncCyogOkpFpSw6MW/q0b3O6J/N8drvnhri
8oLmDnLSCRkdWgyx7KnndWo01nDPxgc8xeUyse4KWcMJIwCAXvMlapQf3dFWsxU9val6auJsMSnG
ohpyAhnMSxyfYraOPteLe1CEi9LAhlq4dy3ETjO2IAZgZbaiwFwSi4uUyMlQviTpM6e1RZZxsnFx
wC8Tghj/+hL5IJL93Y3/sUQFqdfE7djMZ3VjbP3dfGwfjY2zq89YXo/w/Lx6herMIzkHRfc+Qyk7
Pis78nE36kackGz9jfNZ3jwfr5ifby5ZUv+0TJhp2tmZvGSLZEddQgAN07xqXal/sxzJS/+vXufD
gudE2ZyGIa+joJq8Gz9XAeFdHonZwv+bm0D7dTbwbUX6+Sb40ARxeV+14Ub6OSSg8ToZl93owYQZ
mhVBh8GZwexf/6Z/tALSFEKeCgKY0PkPKyAGvdG2U0M/D/CW8vmtV67/+gX+aAH8+QU+fHdqDvCl
D3T93PTLDhv6oNDITf7mU/zdi3xYZd3RFej2eBG3P8zVvhV3unj568/xR1vSz5/jw/I4sVfTo7D0
s3Svj8StquLGja/ccPz2Wf67q6NThFm+Kb60/0s+86einGrEsu3//vWvzbe/B+/F8rV9/eUvK9LI
2+nSvdfTzXuDHf17RSD/5//rP/6P96/PcjeV7//1P18/Z4CWo6ato0+t/vvTuFzR/7w8kkf4smhe
//hx3ysjtNaGCj5Bdh1hiMij+n9O8epvsM6hxMjTPf2WXwojlYEf6QjM3YDB8Nv+KIy+CmbITKDh
b0uB9vev4frbCsA3+Ke7PQPDX1YKVki6PfR70IIbrikL6F9XJDrmiW7PenjOVDLGUY201suoqaGz
s+D5BdcFXcr93FXiRYTmUG9dJSdYfxiV4bme7ebBDc3i1nUja8bq3g3F2sjt9rExOuJ0iBSwacHD
JjQj5WHUOZuNwWwSSEMcsT6KawduKKE1564H955Or3hVX/XQNzmI3IjGyVbQRjd6mkWcL21OvIlY
jb2/7JR6D8sJUnbDAIguaQOjZnpNKqKDqoEs3I6+2KLRYDIyUccXJpw1M3cCEXLmVFZHMEBQ1xj5
/G2ZiRuzJ3whEtoyMezPk48h3EFo4fYc2/PqtjT0l9CJjUXhc5TOc5p6xF3OG0JwM6/oiRrCcQrZ
zT72TsPODagbjM0xq4tDFyaIVH3dWZqNDZe3DgjkH0qCkufkhkknQp25PBk12EOycDXIdVIkkU1E
uJkySj+FWtAaY+iNeZAec4IWZ7t8gibV4zxXSTJQ6/e5qSeC62Uqb9NtccRtVCotDW1nadsx8knX
M02ak6w1a4RzzMsIneVNacgAesfaRjl/MvuxY+ZfPORh8hkR3wUmzNIp009aEt6JAoRe28aQc0D2
Efl/iUpk6b1FCgvYDQLAQMAGOMo4YhNNJsSdWcPsDiz7syjywzwZN+Xk4AlVHfSSuW0v0CjHjNPG
Q07V1DJuJMQl36QRkRW62c1eq/UEjeUPsWjSJRHM0Rqd54q4lNuc/B5PGWiShKqzNiu7v+qkhByn
HIVRbe7aRGQPTiYxNEl3mXuO+pYRXuUzhCA4m6jhp+6+nuI3n7kWvXfmUpapru3aeQR1+mT7tN7p
16TEXy9G+TbU/kaZIOL68zlNIpTE+tr1r7lYiyuz746pm1zPk3iJBKrlnFy9dT1GSJ8R19LOnw6t
4LLTrPhY6AxUIQEsQsV5VOxQwZQ/gHGMR99T6midDMmVVWZnw60PpiuuYTFWi1byKALbXCtG9WKS
yxVa+n3W0qcWhb0ve3FmAGHQHqFz4/rroK/orfnNHeCGN6GMp1p077qf3TWtvdNscYz7hJFgaAuv
Td2G1Ap+BzIzP6fawC02ExjqjCn5/bk48+HRhg3hU4VqZ6Gp2Vn3teuKrkLlJm+K4ntO4SLHCYn5
z4zsmrRnB0EoXbmszR9D4ZJvNqU68488PShpVyIWI/XNV4Xw7Cx7JYE0WbVTetEa/4nQ7ImoZr1e
hK65dZ35mObtqdPIK+vM50FkrzTb9rPFiw76JS4jEj3cXVi25yZVN6Zhbo0yRQ7lM2Sm9blAd5Ov
6VUziZd8asZ+kxWS8dcah0ir8wv7uY92p9dGFoicQGmdtD/XrdqtFjuPXZZTJxcZKYdVBAq6SlVS
GhrefZAXINtGU78eJxOZTaRdhdxYHr+5dc5tGjdWT+2Dwnt8nCuEfTVw0UNMCbxp+QpWQ6qkW81W
mLSXdBgpxv1AXfSiDbetYpBVq4e89FSq2lqJObN83Z3+u/fpzXtx9Zq9N7/uy/9fb9PsnH+xTRc5
Apz36Q+2aR73fZvW1d/gC7k2AcKgVNhaf9qmkeDYOJ64NOEC0I74sU+L31ykObaN2gYZ3Y9NGhyj
4xCHyiSSHr2kJn3YlP9qk4a09HGTRvyMfJWNny4Xc8gP1WJWgkqf4LhdZcbcr+EemktSRp5tJ0Ba
2D2i175P5os/9RsU0yu9ci5dG9z7KTziSS7MpZksq3w6sQIEyidjSO4z8teWmsHkiNDON9ECS6Gb
uCuzeKsGAOfLrlhbWg29pydFnZ7xC3Te8k1r82iBnnJYMf/3MQXFaP/Bz/hBvYe3Fi1iI3zMrOKI
9u55VlpmV07tDVH1OsXJxQ2N11poT2M/6Z5oxxNi7cKbwoSbqooPXcd8wMKX/jipzkuEHP2Ql2T+
aAMYH7WM75MufSGLbt6ZGYZCMo/Xwpm3c6W/9E125eaEDQj71q03KBVXlVvUhG0O910YPTuRsh3U
4rGplWBv60DYGtPL8h60PPZIrNfjFF3JraeaSPzyo/BzweIStDk+ETFcuXKVLSJ9ZxbrmAFgOBXE
Ht4G1am212WbPFd6WC14i5ummVk2yaFMTQgsrUUqcRLrzr1v+ovCapptL1yZBYTsx1eOmPCHbdHa
vedH3WoomIQi58AVMa9NLF6MLVOUuunnWgmHZas37B61uqnFDM+v765hGW/VGNOX6pP1F+bGextF
5j7NeT0USo0VQGiy6zd1ntChqOJIQOGyaOLXUfiuNBodIdiRZuReZRAjREywM7YWElvDmWTPpW3R
VGnNUeD7wqnDBJoVcJZK1YEg+zQxq0VqN6TmRAB8I7vkYotcC00NJo3WfrVKZYffql13jY6oiEVP
16fLYBO+aGtUTZUB5YjsJJMBcK5lMWFp9UYpjXsLv0OVAb2nSeUcK0XbpU5xKuPxhXnPQ9g0b2UF
Fl4bJn85C4GBLO5ib6qxPyRxu4MnXCx7xMVdxHY705iUGqgLOb0GCO5xm6EbWZNjS/TjJIZFQvND
J8WKsugLv8ehKMuzWYdUceqG1DjVy8KMisXRyfI3bmPiasnmPbTacCpmfCRzm+8xIx3JEoM4AA8h
JamW0LG3uAl2bhhgqEP7JZzmbmii27JT7qNC7NS82He1+V4IsUtgH7FLvuRNei8SJOHpPBxNoz4Y
XXHqegYvZTJeEAlsRj86miAO8nnYlm6x02pzDQFqWwXhnmk4Oa6TcSjT4TA06rUamumaqfHSD9qn
wYYL0pjzOqrbM1os2jezva9d/caKykMS9aA+po5PmNGv6vUzR8cTIrpzXvafmmiiLgj026ZoHoO8
OiAwOHUh4V/BdJMT2YkKMHxM0nBNpfYYJPbGCoptJiJnh71qI/pBcoLak5G74BJt42LGwY4I6Eum
9BSPauWFXb0DcPWkjkPqOWqawpDobgi9PXbExC9mG/UTxJIn9u+t3fVeiWgfhKvidU5+MlLxMjvu
ZlAGUObDOo3655yxDKqEL3NDMkQU6auZIiNS0ZMs7FnJsxudg6aXOkOqo+u1WPtGw9jj4ZtprKUH
N+iOVHC7se2I99DcQxiGZ7NPD34wDYu4CE6Dj98vcvO3HqzjQqlTsgjdTVW4V3WOrc4hhDOrVI3U
WO0BcPxx1MxHI1EYwsW3s/wJORS+lZCriiagpzqgWlIeR7U/G5p2pdJECYWNj28aXnWFCWZUBvDL
qpJ8N36LWrPWeUeOYeUgQjaM0+RmLYDJepsU8SbJy2HZCO0BR8a+atBxhHgAG+XSc8TxdPOODJNV
FM1vcWrfzlYbHHOrKhGKETSS5SdFjlN9uNfmbL1opdjYur8wDYrluBUmvKpR3yajyb0cvCcThlib
pDqkidOR46y+1jSSDVVCWO2KEEYuipKDHtoxEajbJqMFOUS3VT4fpy648+tmCww7gCyGcQH1NZ/5
DvbbY1uFeNjN60TG5aq9p8eCtHhiiS2zOA9tcBepc7N0RL9V0nnTzjT0GnGZU21bBy5fDW2vqiY5
oZ8ufaffJmlBBiDwF5L/hmTRa8OlNMSpIQRFrNJG0dNVN1TRg5VFLYu/sA96Tv84Q05K+h6682q2
F5HTc3fOxyqyUcTUfKRpKrf1iJIsyF2yPi3AJm2fr2aF+p+2bLQIemr/vsveemx1psjjNTuMRUos
lLySsNyRw6sFTM8PkQmOoFoXRe/2ezR69LKV6UteNzsy7oC2TXniGXGtLUTEwNhK08e+CHQIfKJG
LEKtS3ahrSwAnqC7zILjoLXlOcdN+BRrNqc3a66VNdwYOEYDKLvUmUmbHFIT/3OPN21VDqSMIdA5
Dka9x1hyrTvJ2hzjla2jV638m4Ag4q7SGXoa4E5TUGK5Vj35A8o6G/ZLrTUE1iXjpiNWcWW07Vsf
gxtInGfTN079MLHJkJFMmiFR6fDmm7tSVaelY4evrKwPqlFv/SE8q9b47sfGAe8gYpkQBEJkFF6j
GE/lbB3sKDv5UWp4ws4wNScgf7J937FF11PnLEXtn2PVItmvuME3EWGzm3dlII7WGG2RrC6CpNwR
jb2wCjVZRsBdPREbF3fIblskCX0xTcssz+/ydMi9jFQ1TAQ7VVVOELk9SqGNPla7FvKMkoS7wK4O
GJMfsR0d0lzb1wY7reGsE6f85MdgNpLgMvpUCpNVrmY/XNUc5a2qfc9C96jkuddw0Y1jd+jc9JMw
VFRVbr4r1Oim1oFA6xHR3/G0MDJclqN62yQKh8EcefU0cpZBmTTTi/B7uhRyfN4hym5jbZt1+lPv
0F+JtXFtQVM0OGpQWlSkiqcVq3vyhKHIw6hIf7bWV27SoTUO0p1Sxg/QHDaGM1+rPdl1SavdTYO2
NuLysUB7vjQyXDdKH33266L3wNV0qzY0rtCGXvmBAQKxJSI7LonVtDEsRTvUSS5TIf/QJ/N7OVlX
bUnkPOt7exQ6F0tQDBaucxvpJXzHlT8J51xoBY4JHCepI5BXqJfUVI5py3RdCYx104Az9K2QNkmj
ZttwEs/WEE+3LivNkpH/cRydDk1d8TgCCC8V8azrsQ+Sp3pSe8oXVXTrpOlTL2/41I6vbV259FQO
8V6FG/4f9s5jO25kzbqv8q+eQwtABNygJ+kNk0kvkhMsUiLhvcfT/zuoK7Wkq1u9qsc1qyqJlck0
EZ85Z59dUKNdtcrkVPrK/q3NZ/Dhx9IIqpVpI++t6uydhpEMjqmiseTf4ButjB56aDSWW4Iy9oND
iubUdhdzrW5tSz6OCusa62DD2cSki2qSl0YSXdLsL2Usw70Tzs0FkZFq9S6A8qXBYaj9a69Jn/So
lDv1dbfRuiy8nNscNLZ4ckPGIKW8NoYxuvBEjky73AelfmfiwZ0LS19EQ7cN9GKlZ8lFFejbzpGE
7VnZe+cW8HKFCebavUva4hDhbE56EHApYXuN2T5ORnXjjcQv5qVzGRsBwZXxJnXkhM47fqhS70mO
4sblHD5aIs5x8toIClr5NGfeHtmetkTvkW/znv+xVhmbwogYROWy38Upw4AmL7kdA5np4nY0YpM2
oq41nC7pJM14mQhbW5sGksG/z3HybGIowB0ZwCURmPw65TQjXR9NM4+IWENNkp+aeVx48vantvJf
w9WfhQi/DdxRIagHscnOM2A10kr++iCJP9ZCa5oIXvZey086MTMqEGC4++uH+W0B8u1hWDQzl8I1
iTrv14fxUaPSBegU7ub7UNxr4m8jFlWiBUoKBBW8XL+/Vg0B9kVhZ+k5H/ig7VyfAfiP7vsPL9Mf
nj86AZNXiBfKgjPy6/PH6ujPwqqys0vfYV1Z/xJr/MeZ9m+7r397fX57r6WdGKHGUXrGQE1MV8JI
juwLxnlvabz661/lDw+FoMFGa0duBITx396K1A30eZiL5Az0FYkRmnfoz4Fccg2z2fzrx1JP+6eV
nvq1fnlbmDb8vDrUjSjrHTtNz6VYAiqw6LvaFWfq1G/++oH+9Ev9/P7/9kvlTuwVnfvtgUDUsyAe
ww33iLqKy//ls6ae9O+/lId4iV0eTBnzg1/50z5UWGyMuXjzcyM2fvrSj2vL//LXv86fPm4/PcTv
H7e5saiVLD0/5+5L7D9J7f/wcVbqR0LgUWJaH7Obn36FuEqtVmpmfo45AQVgkOn/cHihOdMJrxF8
bewPGNVPj5BrOfU9QR7n2XkZnMsO+oTe/i9n15/edD7EDlp6hQVSM66fP12ATMocdHN2rin8piWz
Z8O67jG9lisUkH/9jvzhsTBkY4tCL4Q97fdzMvRdhmyxlZ9D1VOvIxJSprVTLQpqrJuPh/pn5Cn5
Vv44dNX+8197TTW5/e//ui3Sl/wPii31Uz8Gnrj2GSsahJ3qpBepd/zHXhLXvrLfs64UKMF/Hni6
n9RftZT4GFfGh/D4+2LS/YTY2NHVfNJUA9G/ldsEOOCXo0FJNxwlQkfBbDJAZfj66ydSullcy86c
zi6hdFdOPGU3kVHiS0+lecC6lDxNBiQVFwXOaZhKHwJkH0Kh6OcHxxva21Av0u08M6uxce9jjGsJ
L46qEN+zfpmmoXfqheFfWBYhygIe06KH9SJXSMMUML4cd5rrHUZzhnHUkpJBIZd8iWDfbON88FX4
OQu6shmfszAMDmSMMjLTWmLTcl0RddySgdT04JlMN1LxMvmZc+hsw920LFSPeVJ4BLQNoLRbz2c5
r58JnQUjGyW4j20WrGFk7TgK8M5/OHH1D1euiz+3nIxBorTKVtU8B+8OLt5Q2Xlnn3w2/L1xQWDO
qCy/5uwhwmVAfRUYwaOOLzjqRL2RZX5tKctwpLfatlU24lkZisMQa3Eq0qOhzMYErGI7DkO5TdJc
rntlSraN3l1EVoBROcNY5xf99VzHGBlSTFvkwswLzbJofdxiYQbeZSwQT/QTr46mDNFYssUqUybp
huCp1aSM0xUO6s6Mn6sSS3WGR0PFwMZrEhcOIaSldun3vGHaYNQ42hJ949vGLpZk/Wl1sBytfpu1
ic8oqytfOOTj09jKNy0p9FWlsxSEh+WuhjxlAhvc2sK5zhzMoMk4bs0+fTDjofUY87RYLcz03FfG
VWHSiwaNgzU82peavsXWYeH2IJ6CEL2FbWMJT3sZnNAel0snz46NMN4sq+g2jT3c9iEu+YYQwGWi
s3rOMv3sBN4uz4ptL6yLePRO5aBvQ4N81zkNEEL79tXkY08MonM2Ry2Lo2zjMdxezNZ0sqZyBens
Htwazfkoj0Q38Sed/5yZ9asYjArbtvuFeMJtYU33rOW4qf2SGW7ZMLfNoUddVolVEFcq7O6LdAmU
whbFaBNz4YUHS4lvRRYlF4ZdsQbtprQ4lB5rAceox4uAJvSbUPefw9ikVvvPh/HlW//ylaLim/Bk
//W//+ubP0T91I/DWP+Ey41LHrmHsLF5/3QYG58wZGPkllIQY6dYeN/lsx5x3DaRKtylKnhPaTu+
H8aE8hG4zWwbJh/Fw9/aP3Hm//tZTKeB1krFpNo8i1/PYr+LSmH50XSO8isxOcqwyyCUs+t+nE2E
RZNZLTwzv3Dn9Mad5OtUptrS0WYDsT15lOCd2BS33qFJvDPCroLRl/1KQucp7bwHIpzuSfN977pg
U2k2bk7PecLzVGLFtc2lMcxb3cwuiMkblr3fY1ubGTzoVbhMqczZzyQPdmDPhEzYeEL9is0MOsfC
tB5JMHsIpvmVqFB2Lom3G6ruPonaq9qTAOR9A62EewvT974oxuDS79tDMfQlx0tzNFwmWCOugmws
+J3nVeyid3SJUXaBltsABalgNnmofe5KpjWcE5bpXdIRbGYZUjU7jr/2c9LCZ9zmwCA2lZu6RIag
BpDG18KLzk1i2ISUVNPtTPxe1Pt4EMpmOVcjmoVYREtAgXgCcsJKPM16yuYEltjgO4DO9PRAxpW3
qgajWWmjv+UQiFfuoNZOnoVdTSoS2rwQRndrT2XBuMh6gE6GPSOIasnMpIOAQYhNgaFitFla3RvD
QNeNIqTCS4h7l1zZGPkBi7EgttnLB6lc+YVS2eKHZ/S6Tpppq6fjbh56e901GAPjAFq6LrHUfdBI
LONeOqiUM0e+lZBJUp14mb6dn2fCBRd2wweHvKP7Ns+fo/SNlLkDfI4COUazn7ruONYOfsA432ED
0tagK1TuWH/ydABVCXsO7qvPk7QPWcniKbOml8qwqnuZNTdBJm8MtBtDOew7c9yOcYwbz/LFQov8
HakyxTKoxHEijHbhaaWznzQ893PmPmh97S7sStsMnrnVI647yHHMiob97HGZURbYCxnkaIM0zNZV
uY2ikJBVZ77KTX8jOkJ9tMgk57R7mBnSppb5XgheMz9mCOWyFfWTeyL1noKsvhox+XH9u7sknx+b
mkQ9vQh37Fa4flgu5GN7yDqHT3M8P6LuxfNUvbRTtAabefRiAmCi8smOiFT3BVsTbhwWR3V618n6
PqTnWZQdwXK6QzoEYL5yNtBlO08VGodF3dmnGs7azO2uCwBwkzZu9WlaZl33bLnBDSarjWPkZyGt
81jqpCzYs3kBPAw1k51fzEl/aYpgk+RfE/w3HcOedTP42yIaFGZRGivuo6sIO4qr+/yXAe1N6zQQ
wJtx6dvmS+bDI7P0pF3qcCCIZDIpvqY7e24huhSpsxC1c4f47Eip9jS74Sn1xmthaltDT+DMVfhS
M32XeS4fI6faM2LnA+jfpeRArv3YfAM4XfKFMu74GD86LTG3hl9ctpF93XjiqzdP9TrWhqvCZxuQ
NYZc+oHpQGMjBy21QzajWLZwfY3p1ZR4NwmSIjWlrPZ+H+rrjAJsk9ve6+i3L0laXfkGuVG+Y/mr
ZtD9ZTZV1HaxdSzdRl7Nwt1ilQrza0qZ+LbMjS/+BBYuSOZ7jKsXYg5eDQbIXdpNO3LNtXWbmJdh
S9Yh5vpmgwk0B3zZvhWlM6875DYIm0okN23lLcrW4xXwnJazKK2XvqwvZsM5tqZBqWfsCRe5qVlC
LPRB7O1ZXkItPhYZv2WUVKuyDXUWA5pcTQF44jDrWM7JbwOSf658dUX+5ytfGWcOxUvV/cniqX70
p3v/A8JuIy77zeGuqGokgxCpiyrlm270+72PxZNqwSQ3lyndt9bt+72PYx6T1bf/mQpb+zu6k2+d
+P+MZ5Q4VFdTOlQvUqgK5LdRHVy1bBzlVJ8nDYdyuTA7A8NCDqdkb3dhfo4kIvnQCS9tq976s21d
V3xjFnOg3whf3iR191Zgal+MY8hauT+GjrHBBHlBQOxS61lE5caFmxur2aSm6OVI4SAuIOHDc+my
S1O6Gz9wLppQ2xSTdm3H4b0z5Z+tsV2CnXkDIswu1GXiku8Tss5CTUN7FYq95YYP7E6XmtSvgUpe
dsgf2C9fjk7fYsIeL5CNbK0afFUU3Fts6jR+o3VaD69e1J58D/1/LZ5FkG77tj3kvr1phXfsZXXp
h+GlV8BdQcUahOUlzctCFMhARvMzTt5dyPrWm6YFTcg5NuJL/Dpr8ttXVTOvQr1/8qLmKgy7UzBM
y75wt5I9CgtsaBslIs73ho38OmO5wkq8O8ye+0Ja9gJv2+c47vda463IMb8Jg3mrxTHxWgSKlzXx
7ChG/TE6I7ncJQ7KiNi+t5psN0/NTea2r7k5Xmpufhn61UVvZztr7g5ZPe26qlk4QamayEvsLfSQ
3l4E8sYJEdu6WrlrHQD0Mh3I/mK9aEzVESfNiyjkjVfayxCkASGmzrnT2ovAJMMt6Pf1zHLL0W5i
b9wbuv8gs+k+8MTaRuu5qNjp+Wp7HPqs/Z2sOkVuOqAbqBA4AO1dFZH94sCO3JbVSDC6xbJqLD+b
ZhkinB1fkX96KkY80Kv1tzx7v3HreBd7ebhvi7qOz3KeR2RIrFvFtq/zaOOhbVz1I6tUhsLbourS
hQYAJyna8pDbKIabimUhOafixOKoX/WTAS5t5N73cnasvpjjG9Mwt6Sh4uFpg12cU3RBbHIZJ4Bz
yBEDL40csF9cOjAXgCEtO4e4KjQ5UG7s6TaSU7XiqIYQIOxkM3dtucRgA8ghaO4BmOnrxMbKE6fY
O12avpncewtYi6eZdxqAn8IVK6rq82xaG1knl1WTDKsESA8MiLdolic3bj9rAz93qjtyafm73ZLM
XCKI7QCIW3FtFtnD0JFHWPZNyxINIQCXP8v1Ur4GqJwWeq3oP00Ft0h6l8Svs+kd469E17LBll22
7PuwWiWm+xaU3nM+mfd4Pt94/iiDC72BUSTSlSjRb4WZKFeg50iITlii96UBIKFG7xCd+zA7uNnw
IMcJ0o9+iD33IIuQnFENRUIQPkQzO8ksrS4nf6g2WQ92wuw0+1SkPpuIkHxKL2nWZtiLVScRkw9G
/giklle5yr5qBXMHFCRqIx7kmzgZ976WbmPg3ktv7p/mAokW28RzpDuveHZfR8l8sx4zPreOzbCl
t/jJdBcQD7gwK4QhZYoeTJhbvzAfW/b+gLodmD/WPgq6BntV9DgFlOmeJhkMEaZoewTudO2r1tWr
xoTcMfpMInL/s4Dbu5xg4s1mR+wdm2fRkV0rW9ruuS7vwkFkKz2epjXCLNXE+48i1TvocL7D50ts
KrX/9byBr2iUTGTr8LWEzcMuUoj3TKfG7f1A1fOYtZIIi3NW7ZF42Dy3/kAdch4ziIDMScCdi/0Q
6lQY/UOu64d2cJEsacBAIm2KkTuPF0mo3wLIO1p5eGdMDvrUGMlRHYNGkoNY2aN2AXfQgOWa3Neh
pJrISmeVOmXa3YZhkm/qoQnCpVag4+/pJJZa3Id72UabkOHJItcJp0WRRqhpXkaEPGYgjTuT3nC6
LrMmXzjGmF4TLPQvu94/tQgch7+oRW6i/g11wde3f59AqB/8XokY8pOa/HOn6vKjcPgxDYbCw4yY
ksLxqDo8/acBhPykQ+XB2UKyLoBVFbH3vRARgF8BXTLoR1WFOvZvMVw/TF0/FyKMk20ThBUDCBvq
gP3bajU0c1b4nTBPdVExLLzQUm2CIuVJvclI2JZxgjvVFAm6Kd9A8jV088aYJsNhHY802yVe59wp
U+SQQb+yrBxeVKJNq8Fs8iNld3Y7CSjS3SjLizxqiy9t0A4HMxuSW2kMKPKhYObLdnTeyN6Uu0LC
UTXi2gIEWrXFc4hB1EMeAXy8HmCNeinXhcGJnObWKx4E410T0XxjNjYuPC+ES59PRNfqLrVSaVer
0YzNhaWid6mmkqss6/w7M/bCm67U0vBWj60kIGfFMap5P5dc44sa+JGA1uVwR/GAnY7QCWWThJK1
mgaX+E4qy/66pj6iKStqk+4dWK1+CRMtXmdWVMX3Gken6ucTx1mOJkNARCECELvVT9Vz0nViL/us
Xc9sclYOjum6nA5uWwL3UMAhva8969grFpH/gSXKFKEIqzewIq1S4KIpyoWAXdDEe+JzQWoVs7yZ
jaYnv1XxjwpASETTh4fS5pY9WShr96QsRv3NHLvGZgIOOwsyvKUznDKPKk/bfnwR/jkR1JLzP3cn
V2mXvTR/OA74qe/HAXJ43cMWJh0WRPijfh1ISvTwnAZY0EzGjj8GklL/JPkjg3fEEv9qZ76fB8wq
2V8zQiTwnQSRv9uZqM7j5wMB5QMfOw4q8JdklfzemUiu+Fz4E97vFKzeDkYJLm8AuqfYT5dybq7d
cP4M1ombvE23UHk/a/AWF1kIh7cItmTLM2dk8FeDnVqLor62+wKmhn7scADZ2bgXwHznbmfF2lMR
BAcfyLAbnI3YC04FURVL25o8JuXoSBJm/wt7mr8ye0P+oyyj0nefHOnjyRJaC1i2pfoAsszQZCWs
/oqpDdFxQEL4c/049yPSaGScEq3HonPSh1yjHMxq/S0qm/dhNr9Si0fwbJJwWZvjbeaOw5Iq+mmY
tM/1DLdjnCvmk7a77GfvMren6ajJ5AY8WQ/zBlfK6APPAtbDPzTvAKQkfxG2TW+sDBOMC8x5ZZfH
HpyFdYWISHzRk0dmOGFjz4tGJyMZ55/NgbTynbZeMYmd5NJKdISKREkIJD5iGhBhitZ7MSLSMtbR
WKPRyvsQxE2e7EC5VAwUNSiAcizXUMuYGuueEh2RLcLsKUGE3dOR2dSeiykY2mvU5hB75rS+7gsR
b7uyrxalk/JSYZpZNDX0r7AigyHLExOJpv1YzDUldZcMa1nTGRYF8OS2C63F6OGc8z3fQmA6TNd8
NuUCxbi+iqmhw8IuDh7qrYWfyOjkcwqvBq9rWED1znasYZ0hveqaVWUyR9JC4W8Bhb6bHt1bFVYU
2okf7Ehjfu1b3j7T9ap13zP0hqNAWgwmhR271jdPKwgNr4aBtG4+qgyg91R4ZEBYcXrliiBZG01O
0obGhM/DuLiVqQjWSd9YWzes3rLR8LaW4rBVtZZeOXMRHHjliJ3yh/zFVenD5hTpO1+XvDa6ptBg
wOeE0SY1lwQ5glmt5a/llAeLAg8bbApVurtafRycYiDfGPCAF2LgKAmM25atna558yTMR+s9Qvuw
kFP4bmhSbAGYIWzS5wwLg0dfVruufNXZI9HUZSEXLIUy802wiaXs1z6JCxrPMreh8XTpK9+54FDH
JpkRc5K36zB28WqMwqWn7q06fk+hRJHibJjXhQGDAJ57c2z9WUcOz5y91se7VDPAYOspwE9Bq16k
1QMux2CpzzDaC28o1k0IFqpvnrSg+pwWKjPc9UDEZYwH+4xgylh3iFCf4gfA71dx1UTPUJkdzFdB
iDDZdYGFI9+bu+soR91t2SlQiZxBo9fZb9Swz1D3NkPg4sv0tPchbnHS5dET/q0Dro/H0R6crWg0
ewlyVB0i3omXYt/R3xd8TwGtxoiZ3Tvdta4qg9uP5IRFXheXji6/mLb3uU81bvZ6vGrn2t27db0j
hvC2mb37ivJmrbeA6+HAr/t4ihYRa5mtMJndQzti7J/lR9oy6KvhTQDJif4es2RHrP3R0ucXRuEg
53N42wUwc8c/u4Ko6lFUq0l4Lt8U2oScDxsrm5TOH8X+a+wyoLeTNt4FokdVKzuBatKTB9vG7CEJ
QF9IK3v1GoszS+9y9IrVVTFot6wVhm2cJNEhQJLNYDdgxkFtwlNiej5prb0pR84kvxiC64w5FMN2
ZOqd+vLMuu8z6ORB29IK1zHhTFu9KaObNKjLlWsia+eE6WAD21Qb1uhtS2lM6zkOXb7ayK1135m2
YzfFa7+JBHJfiBPeHNtIt613CIbzKpHzHv36mcH5MRPxhdWN2VoMurkVg0jXQi+JLJMNXYtj6dvU
h8sv9aLYmfZo0TjT9oT0hz7ugq0plP025tnS/UINHIYCxjf0DNiOys7HKaXjuN0OhPFeW3XPnEgB
MbrYsBnksAyJM7hUFRhYKMWpZKg9dN80N/+UOoKl538udW5fvtQoYvL2D2IY9ZM/yh0Dnh7VhDLq
M1BVPc4PMYzxybVB3H3/E37qf+awjrC5lVVHQrej+DDfyx3EMJRBeDgROHrUO3+r/THRzvxW7qCF
QQpDAaVj0qex+nUBK+I+b3BeDecxdZkgsI/doAqO12Ws9mtjy94pafheWrJ/GuLsiDDF29q66yxk
FUVLfwrITcpd4yYI7DWo/WyRTQRT2HqkHfV2frF8c75kdvE22BUQaeTrqDr8W8YU9glYfbiYelHx
de2rS8Sv65hhTRsO6wFYBgEx7iFrzYOsjfdknB4GxjyOTM4VYx/HMHdeRNCSF3M3RGo2FKcGKgY1
L2JXiHFf5fpA93+LHXk/2Npz0mtvg5o2qWC35TiwmsP5/rXKGC4lunbZ0upwOjKvGpIhX/QeQbxq
lkUuuLFM1YS3V5OubioeQjX6YgRmF5j6nI+pmJqPBTXQgVMQ7e1S3MBwxkLkv83KE5VfMeUeVoIh
W+7Zm3mMP2eVWPgM4cLcuuvVVE6P36dA7ZcY17k1s1634wbrGeUVGuT8SU33ujRMN2ObjovK42yt
GQJmQWutWjUXbNSEUKQh/jY1NZwL0pzQxcCQ82NvzbHYrCRjxiRkf5fBB+86Lb7BiWbSJrIfjSeJ
Hzsias4qNHGq1fSSK7xfJq5RHmatvimaEZm3mnaSSLG3UI6uasH4RXaxtet8b0oe8kBzgpPZzNnn
uLGAwqYwUXn5+nk5CsrZfoyoVCz3vUEZP4b9OWyBHIoMIzls6rbxnmtFQs7SwtFWnpF6u0ga/gYY
tXF2dEIHuK2Y3aoIklKFkWQqlsTF5lO30ciszXtOVHSJpUJMBhVnopUEm5gknHj5sBeg48va7xDV
Ey2Bh/pe6zh+O/ZY69Gf822vQlMyqRDnDcrLhkSVSkWrCDJWRsyZd3wCHFyvTrFEnzle5SqUxe2I
Z2ES99qgtTw6idmzXg7fSoNqYZYTgihi0zRXJb0AqeSlt4ylA5FpV6tAGBNj2G1lVyiFCie/S1Rw
DMETIWuL8q4gU6ZtbQ11Dn1ygHZrtHOwg77GtayEXW0xYVxC6qWJelxmSv5lRdi+kHW6pF/59qGd
9BfUO8sqHB4Y4AJZVEIy7sx4FUiPqneU2l7TvOE5iYcBO1zlryK3zbdjWSRfEmE1uxQXE8Am95AM
4bjrlZCtbtlUrGrwZAtQovX1oCRvIfL/k9tPlw2tHwtbtL2oCfhmZj3hMroLytzMCXJz52LRGAn+
Pmuc1/+03kzHsIczmvqr+yj/f4s3NUH6Q/vNT/64j3TaZZsm2jE/hm702D/dR7aUOhJLGnRwMlwV
3+8j3OgqglP/0WL/uI7sT9jUUR9zBvIkDQI//4YfXThK7/NL900qE8nRrmVKVEc09r9eR003WVaf
uNqlY2XxMgW7H/l8JlMb44hy1ybOtNOU35a18jW3kLfslRd3wJQ7TLhzkZbsZ+XXBZEcL5EcoRhU
bt5K+XojDL6M6R7IYXsu9eo0MYhiQu+SwoAnWGIO9kvBTqneZso1HLTpDfOzCnuV+AJGeYlKvln6
Qr/2dDzHg4vjrI7rz/rovI+SzIR4KG8zM753jAx1ToLAs9PYrWde9Si7sluhMiXdTRs2cVDiuCw0
kuCSbmFo9XZINE5WX+Cl7cgCnB1WS5ZfcJ/hhNNW/iify7TXpms6S7ffpKMxZLj6mpYTqYr1EvGP
ITFtlSbt6eBtSqOOCducsjUgVXYLJMr3FrDZRIuvupgMZw/1YlaAsOn0+GvrMH4Ehok/3bUWor1M
+3uzKZwFYiyPxFOiOpEa3DqjkSyMzHyO8TZS0mP0wjXGnqvokRA2zaHS81cM63ENUjcs9LU19VzJ
dibN6yoJoJJR8a5APd/pITIfh1kEvAxdXdePuSweaPAKuN9jccHtPy01x1vnDrquoNznaXHZGM02
Q2SYes5htPxH5khsjhMx7QsyPLtc6nujQzYS8ntjFRzxhtvYkvSUWR/P57MbtNGhj/C4lbx8C9fw
NeWXz87Ixu9S5clk3RCxxnWO8sOw2SrvZvJh46w/LJ3G4J5mc7rWG1C/ut0wG1EO0LrUbwMsob7y
hs61OFeYRTXsrJQA11bs7OElbJMeoKtyl/bYTFs3O48eUIXRnKg9WLhlvPMMeMPY6oAQxJ8tHKtO
QZ4eV1umrKwentYRbysxWhc1Xtcaz2vUGjtDmWCZdZZLWxljZxyyY0/yoa5MsyPuWVvZaHnL2cF0
8VtMK9fXPDeNBJS1UPZbghsZh9BZ4ss1awYayqjbEqsx49zNlIV3UmZeocnbqBtec61ZZ81d3RnG
EsXMdYALuKRtysv5AIPhQffiYRXjF27wDUdTTOvMCCpqkudMWYs1h+5MmY0FruNQ2Y8NZUQmGOvF
841irWdMt+0ZHR61ge6yoh2ORaOtCjzNAK1eRanDbFBu5yA8D7ifq3q4AEj3kCpbtG5Om0oZpSM8
0T7O6TjLQeXSbIfKU63M1WLwLzxltxb4rtOUv4YPe2gxZA91tndxaPdtfuRvzvgoMW87ysadfDi6
8ZxNS/vD5x1icIJBYwdPMS7w3IqJwFa+cK3ZYXp/avCLD16/BqSwjYX73OInzzqpLQtud8RzyxbH
eR2Uj5OyoJuqBB2kfeHiTneNisxDZViva/EY4WAfmnqZKkt74cprgccdkfy1qUzv09yfrB4b/Igf
3s9p6r263IU45SM3+RybyQUpHfdOXuqLFMx0i7feLNNTSGea6N3nJJO3tTLhZ7jxZaYklPUpwqU/
Krt+MLHwiHHwpybreRz9fEgOhbL4h3j9G1/f9Mr833X9Y2ZWBLJiJOzhAxRwAgDzHjU6XUCO2l5C
EtAhCrQE3mYQBgYWot6cXIxeC71mvm57TI1qZy9gE4wlH1mXAiyDWoAq/jmBICQra99CNWgk+m0o
B4YIH3qoBxb0A1ZPKaMUf9Nb2B7hIyRwEgwFTJghJ/hmfTFBUiC+jm8YbIWwSI4RrIUR5oJHMB3j
LcSdyNaXMVwG2UebHE4DsJBjBLfhn9rkozZRut2/qE0K+qiXf69L1E/9qEvMT9QkNMPc/f+OpLdw
KNEri+8bxO91iftJVQpEQzoGO0ZG97/0yQ4GD0XnZTSKK+jvFCZInX4pTFyFx/UcTyKYBtjjOuZv
e0LYB2mZgEQ5E7XFHWQpzTvNe/eljrt1L5NxoWd+sgMcmy9jw3vwW7y1fk23aVnOa5ult4SzegtK
rFXXYufzy+i10/R901cXXMrBsmZGSRxPv/Ltvt0kwngenDHYImZtjllV7aue5f4cnUWr7fF6n9hq
L4y6UXnNlCj9REntNO4uj2KEwdrKYXbeDnaxLLT5ChWIv0yj4cYULUohhzCtJEfApBlI+rU7LYzQ
+PVQL2npN4FvH9P4MY2m5yFAKxBb8U1TYwavq2ZJ5MUx06t0Da5kOxWFedJLCdd+lgvdkMfZKi/7
vDu6jf+19IZjBHvSnOzkWo4IFYLcPw0SakBgkvdYW+vGNY2XeipUx+2uAM49RKb+NXDQeODpqJaY
Eu9HR/va4bRTmPWdoqhPaRCuQV1BfklO0Vy+EOPVbHofhholYLYMzcra5gDl/BFdRu1m93h4zk03
PGc2MtDEMS9Gt9q2MkGIQ4rmomcl6DbBtvKtc2Jiq7aGedcNhs7x6oGK8zYqNYvJwVZvXaodN77O
M51NRz5euM18MdB3ryHHPUahJZa9WcU058lD1XCwJkn7aM1wU9QStG2y98KtT+CigoswCSBmQsPL
MbgPDcnGRmvuGh+8WVMFd2Zag3kLFdcEeftgw/giueVrHji3gT9tWUaM66zIDsDyicwV2hsL5uNs
5xsbyQ7/bZcXVAOyd8mINCOCHeP2Km/i9MIbszvCIw3oah64A5u504rdA0HhXfOeGdUuduqtjTtm
2XZ1gM86ORldtS6LDh1xguaz15pbo6+3rI6f5GRsvQDzSOlaxyamHG8L8qjyPIPOHHIVEyUpWxIQ
MBGtJyX+kgy1lslcn0oPjFGckXxlTmJrBsUxAQGXepzbCf2kTIZDHLbxMqyny9rjtZf+sYUqgsYK
UMaXLijqz2HeCmAxXoa2mjn6jal2DMHCrTPtWi+96oZ5bJZuYfxtWqFvEi1kDWb670kADsIiJC4s
cO3rlXNw8vGhsevXNulYBhXFNf6arRYm10aZ7l0YHEtGC6tydOi6nZ4RjV5vXKu9NEQq+eXKdeU4
2kKMMdClUa4hTQ70vw7oSgBSyzLKVi3iPmFPEJLMFZluz66PG8yb7nmjw4Uba/sp0i7yKtyGibaH
mEgqJiz/GGKN5u/ibIIAwYpldDERyPkgQEQYVQ22byIQIhs3fQZuQETxhROhxUfqu/BG5/+zd169
jWNp3v8qjb1ngTlc7AKr7CBnl+2+IVS2ijlnfvr3dxy6Xba6d/qVsdACo7mYmbJNkYcnPOEflp2D
yEie8EK+10KRq2+EWAcuD80RGteUvVJrNiTVzA+ce+wyIrpf/mmb4xQzFoGz6BMTHFGUrhyYbbTg
HnEaZxHQgO8tSu4QuUBmran+HNHfR3BZpZlCjZp3a0xcCSXvqnxEaOc87O1ZFeo3coD1lzMAJsaQ
gtpcOtdxUwetQPeJPtSCksC10bjbAnnGidMmR7Xj2YD+2hU+tv1UKoyVjiKgK48gPoH4hAHaKLT1
p77erDsrPelRwJgkuH3rnv2AIsWkNu0VmcGkHOQl3ASw4+2drOZHrt4vAC1Y8yiM2f/6FPteM7vS
GqfGMa9EpsijWRiuBFgqD9oz1xxvcLadFGp96arNMZQH4PwGXVBnmI2jujDNcq4hKEVzsJ1VtIbY
hbWFY9QncjoubIQKps4g0bqSf8RupU5qtfkdO3Vs0MHhIqHoXSgCKOd5l8ponzr20E5HBF/wX+2O
ZTOijkKUF+UeEAspEGBKo6Gt1l9osbSI4uFCdeyfNGsWaZIDDaznVWlLiyAo0mkn1edDnV/Uln3b
B40/TQzQj31iODhCqfF9RLd75uXtzxCbDjRBvsdNehTW2anvENU3ZXDVYEqkBuVPwxvmjXD88Pt+
UWABEimqECaMvrMDz6vUuCwlN0N4CdsQs7zri/4EgXbM3JrEmmqok9ZYjaiA1PxeWAR7J3pds41j
SuIWDnQ/KDZEinR3ou90qrpopkgpeoUjLiY2chWxHBypBky4XLic9Nid6EB+Z0Ob9bMKaU0Hi3il
xBuFcMGbedil9MI3xdWKnxYhJlSaaE31ju1y6HFZyYK7LFSxMVevdOHD0mY6fPTq0bDVWS07xyic
nFdmfzQKB5fSIhZOMXXpMXfB3vwmDlTEaoXtC/asE3vozlvhCKOP9vWYwkeMhVtMKXxjDOEgo4uc
yny2lUkUYTHzLp4iYB68LH0vEKHSRvi1boI3Argb1YSapVHC+cDhrwr8eQZHc86V62Rybyzai2I6
TpKps7m5qtboccyzab0KTo1lN/NX2cI/NsCbrv/tZP5KqTOIB/86wL3BcYnU73OEK/7sXYRLLEoU
JOxEPgBftG8Et8Zz/QxG3VvZTVe+YW7iWAS3NIJEt+fP8NZBORJKNEZ0Dlh6gtJ/Et5a8q/hLXh8
XAawRJdVVCfpOhmiTfROCQDlst4siiq5SJVc19eV2gCxHZpATqgHDZ3qgLRvYS0Bxnws2uT3MRv9
JbvtNSYyGEhaPway0HneeKsSkZsiD1IwALBLG906k2sFY9EQeDTkZxr/mUOHAQPkhZpzvFACOEP0
FXuf1q+noZudV0P9JAlGrOF0T3ouZXMfqmmDUA0JcHDS67gJQPNfS3lxUcqZMct8bQR3arYz+vkx
/ZgSzC6hXtmUQkZtMSYRjDLV/iH1ysLvagUIsreyrBr13qggRhPYnaJ76GzpNkY5dhpGyrVm1Pce
2ccSXyZ7iS6Lee4FQzZH4qAGDxuVc2XwNhaAiWVlEBbZBC20bM8zHQljf1SvKcAUE+zyLntVPk5k
Y6vXyVIru02lBye6OkTTEtml3lZPSqfmt51VIpf3DQThrBdSfJF3n1XmvRPCyEVyR9ceK8d5LNXq
vByDOyPrHyPdxvBak8eZbZgXNN+AfxjdKvEDgBE1Av2jBPNxiIJrOtVnIP7ORq1whZAO3SSVZriB
zttRqFTFxFAIyztZv5CMLj7BAhW9TAk/KK9XTkLf9JYgbMxF4VE7KBoZRej+1qykY7UjrIUmdGxn
uICjD32eDzquB1GBclqeqsuh7pY2WpyzUpw8OaSjZWT5JeJrWBOarYssR6PiuxvzUwu37tLrvru2
tYiD5sKUm3M5QzKU5kSxLPUULKFqQ3CCgQ5XHJZo5030bkQ1TS6P6KqUgJjwNGKhudOOmiTU1jOf
V8Fvlj9C+lcgsS/IaY68kGjCVMOlHmIrUSMMrPQp7E/ztgbFICfe9yqrt6gbSISqKszBBunftnD8
BS25+zSkcgU48ti18jupAcETV92t5NCe409jGNhSMdfa6HqQVAqRKsRTRcl+JhWaMUGWr9mozyOd
ik899OrEzrrThordvLf77NzqEo+1UtpU0AIKmIJaWjcNVc6y39QuPRvACi59RAqwWhTeNdHMioNb
rQb0aZPZzVlrMx396KldW/UyrYDgA7HKV72iugitIKiXd2sdcbxZEgJfGCXpEo8Rfz6kxTiz1OQs
SHFRhrdn4naI0yyy6iRS2SbqC1nMtWsdOcPhZyQXyUTyaAla1VwbejQ2fWtuU8SF7fMTdhGntKX/
LEf5wamcU7mLz/JhuFZx+JkgGejPzQHWwpAUV35TbWIdlFQwHNnZeKwjXDYtlR6vZYScYOrqQE6G
n2pV/u5JzUmX1ZdxLq0ReEWWOa1nY9SvNaftp4oMLokatwpOg9ZS4/jttKzrn7mUJNAuOnUW99Ym
KMrfqRngDJZJ0UTNejhEnU2XDEQH2CXJRuNMv2fXLUDelWjPxeZjTUN+AjcqmLEhn6AW1i+9qmkW
/tge19TsEfb2rky/3xCPkgrpEaWuoopx5MWOq9KLlZmYMxgq6I/7/XVtgO1CR2Ee92iv0mSlfJga
JYsuY0nY5jouyeGz3j3LYjTx9MbtYTx718DozrPcuXZcRKn7AaBg6iCyNsRXbp6feZ5SLLzaju8B
ydOX79pTia4/DWOxsI3wDp8rZADaLlqwrcIxUv0ffZqRD+nBgq7nMRv61aBn7aqAmgXLoLkEZaVO
Aoy1WuDYS5/gfdpWmk6tLbuB93zsu6Y+jYoYGlV7GRg6GgshYDdE+Ggbl8ocaXn+tm2vDTO0V2Pa
/KjQU504NGAnaqr6NEkLaeqN0k9HVzgv/DJY2o50SU/1h6mxtovYsqmM29I07mEBo+6UnskAhCZg
te8VO3GntQ2jKxl6c6LhNYMAIhZ0GXu2kafyIkSHYhHX2Y/GIdTLmUidi3g3oh8TCvnCfRfj5k7T
4JD2srdwMEaYmmhZHlEVx19ap21P+59FYyBCobe3/hBddpyJ0zqEEBIYVTgxLMOjNDsw3WwrmjUh
/0YjAV9vaYRJo4drzGwy3MQtRPFluqtSBIEKRx1QBk9GZlzQCdr2Cper9PDeNJGM6EoYGWaTnqLb
XNAGA75sy/3EstKVrChHdZyXU31Qm3lky9k99n/xUSV47ioLH2jQnQSfpw7qp66I0ZMPbzns5ZPA
hP7A+X9UBd45GeIN5dcVkmIdMuttD9UqQ6JV71auoSG7Cekra0lgKdG0M9WyHgM8A2f4DnjTIsvH
xZDZV4qbFHMDEUkaxn06z/MESk7cuEdyOWxMiclQ+626oGBz06egBG1XOg48b1OG1swjEZ/0YQ5n
ipg7tfKLLEL3N3Nkby4pxiOCvPqCRvuDLgeQnwrzQm7M75luLt1c8MI97WcodxZ7LEG5qpYor/Qp
IrFWLBI+zONlNK3naajUwBkGSMaj8mBW7ZmjUyMac15sKbFr+wOo2dCCzmdK4UZO1TUMF8oegRtO
izY/CVqor1BplgPCqtNGE2bPcrQKvbqfBjYsIbkmByhUKMdZWMZz07GffA+rAZT/ykWraPI0S9p2
lskQa6JR7KrmHWm6MkG+0JgmhXTjl91t6ZDsp4Ezzbr4tKkUA9sDu556OFrPVN2/rk3IX25cHzWQ
g6aJ7NzqaYNPAJ05raqF9aIEVtRkPWkUDntPimdqlB5JRE4syFAmw0TX2EsuekhGHqPFERKuClPu
UAQIth1Eeik3f5oyhUBkGmdWgmp05ES41eKupcbqYzuUJw4nOfqQxiMge+RhISKlnnLspsgEwoHS
p70Z3XlJAnGoL9Wp3ZjTUEqoJf5AovCUwAAAIcCRidKEx7kgSOZNiAlsQIG+KPmZHT14kkEJoQtv
FNwqJnkjXVm4edIbyY50p7vribmAvY2wzfMsnRe15k0Hg9JTEhU8DmgklAlK3J8yHXZ3dmHbgyj2
Fbhvdt1PdIAoX1FRnXuRtgDoc5+3LF2/VC5jD3lv5sJaM4NadHLKSRPl12bAOzIsBbtPv2efLtN1
r5dwkEyI5Xb9SEmGcmhQ3xU9fJGkkW/HODjuh/hG1VFd6Cq2VEuGo0Gr0CZRnKBc3c2yuDnNq3KR
yr2NugWcOSeXQXGY4dYhNvZbE3pbn27HpISlCZ7TK8cj9AXvA2iZtRXe5i2iBBVRnhWx9fkFM9N3
gIVmlHdnRWMt5b78afqEdFbWP2gJMV8bYgdMRbex0iMX9CNMqo1rRz/CusGbsTim16nMPGpI8Ao5
KTWs0wvrqveVeW+gGOMW2XVf4UasI0Nm4FQuh+BHNUgYODgPmk+xC6mtsj0t++wI/Ng0NlD6PK5C
ZZgWnqVGl3E6mvcDDEz7rJAoF1wibJa3s8E2p42RSy/Kb/8GJBp/y7242fqbXU0W8Vd/pKAklALk
h/qW/WqY+Af4A99fk4hWh3oN/1vgBF+bLIJ7YagQrnREs0DeCloGReHa/8//0JxvpKcIuGBTTs/x
H4IRDUWgO35BfwhGuCK+i7PWNC0Qke+z0DSmtoF2sH3eIuFSzUINNIYhw4tNJXQMvLlSg2gzpHbA
xrQ5AsHHoZGo5lxpnePaiMxpjnzmwguHG1vKimUTJjGwkYDE00zmYZM/emqvKCirNyibgA1ppJkm
Nd8rG/rQADt6aZYmKCZ9MI/C3pqZhYrDgdWWa5pQ2LkQM9FRV37UcB1kt6lXeZdCsA6F5rzgBAR9
czUo/aUFr/GyAFQy9aIOU7o4pTlso/WAUSx6qY1DDdfJnQmOY5xcEXCQRsIfBF2XUGDc7SZ4UmBW
Q5ltycLrNGwpipGReflIYx7P3knkpsq5q+J/1Dcp/0Zze2XBNJ6g/H05CoR1SQ2AbwF1PQr8Nawu
RJ2AZMdAs0Mg2j1Q7bqkzYqc06YWKG5T4LmzujUmrRteYSkwjczspJVQwilNjY56UgzL0VdQtQIi
bjd0CMpn1DhZcw6M3AFOntOxPzKK8aLskLClZH6nFdZjBgQdDRWhL+6zd6LMWbs3Xsvu1kGqbYGv
l8DYZeDsRtVVM1Ug3GEqWMs8zu7DLj6G4v3QCzT8ACy+F/j4pnYWAYB5I3W2uUDQK2jjAFSn0Z+a
DAtQ73yiCdh9EEB0jwQUXwWTb4PNjwRIvxNwfUh0PaBVIPyJAPOPVXVngu63zX6a6Wo2j7yAuMgD
i5fDBcgEKSAR9IDeNr1ZBWMAFdop8rOtNg1amcNjBA1j4jmDEm1zkVe0ymWrw1NxRCUrr+/R8XpK
vFRfuJrylLtRuPB7X+gAqJTLbW3hpVa7MHvS17FAvj1iui4bBFmxYdATGLgKgsS5rh1JjeMsPXTs
ppqdsRAy++cAlVaPKuARHfxuAs65ElZEpCY8nzQ3uVswr6z9fJqnUbwIYCWYPl4NFuHHlLZfDM8f
sEyb+ePMpV6D6TZC3vh+ePhKzHy7P9dad6Ua6QXF8nMzsoEMBotGPYLl7HZrh2tWen2dF109NQfr
IkrMO4t6QJRSDum0cJi5Yb+MwIzIBB1VWt9bsS/PMlJzXBZyZ15ZDlbKDuJBdZgusihfqyowfCm5
RWr/KCq805pOxkpRkSdVqXfH7UpvOtC3ncNs7/vzJFbHYzT+H/wqODPMPKUs0FlHYWGdqg55bY2U
skQOZFd4hGR4RiO7BpzX8xUbGWglOGrC4FRtglMlyR9ihcTQpi03MRX3FlbaXVNW53hw6fRnMmfW
g7DHd0g3ZmWKhI7vEeJKTb0kayDQNkeaFcgKdqZ7h/RBStkfXjfQHLYe/o6eVD8BXQZILTpyx3Jb
pJo+p8wMXMJRsUnJRgISM4KYTSujrf071dUu647WlhY0A/SMSp9FLe4oUSH/pLB3ogfBaUAGPgG4
oTGtCySag4fR1G5cgXUu3QwMWB1LkyhUrgzbecAuAD1ZLb1UJQgCtBx+mk6D4D24tiK13Tk8iMvS
b8CUqDetX63lFgUMK7ePA1raE9dKLmO0qnsrkI79Lr4NjDqdyXV/bA42iGW4VMCvDAGRjUlTu2ge
6yihj7K/HtNOmoBs62d4G/z0RvemyAFhDAqhtBb4+bL3w6cypz+QkRPKdjfOBGFvmgKXh38ijava
zhdWZwGNK8bLgVxtLrWUXiLHu+61YN6o0spx8xPHSTDuzstjw4ZMmyo+yQtQbzgYZoO+V2Ys3GS4
hwsnDFI3RdUHiPL51E269sxsklvVaE9HEFjwnYK53uqLMvTmKGucBHm5Ciu3XiHPG0270QwmCCov
B0t5RAtpbXjs2b3QpaCqUijllh7Auu6Lzdh7c4sEY1INGGZqykNmpzM3silkdSh6RfLKquHgeND6
WiaBzH6kcVJYAepetOtR9R+sm7wJ1qNubKOajTLQzGzextaKxd1P6jFYK1pXTgjWzkskyJeq3tHM
oYhhxyC7rQ7LmFaVsBcvL8nsaGCJ4qVMFZOzs5xngd9AQ6PEKYtipy3KnpJFMl1W5X1ARdSAZjVF
BPIW5f8HyCXupGRfQMSSqUFdGM96yqsjZVbNtftl6ZT0O7MfZViQ3tjZUyVqs06Igw3MvvEMkJYx
cynhcuaBCuBnXe6f1KLKW7dgK0Td10maJ1dUgmWreNKQhQlDzMVcUS2uW3etiPqxLirJjqgpe4g0
IohFnZlVVkxd2zjzLZlVJqrRUpAtMsrTAzJkc4t9UtStOwrYg6hkB1L4e0Rp2+hoVPlJssRDbEkc
wTtw22vFAMFetLSJR8k6Qt6IozilMoB8uTUFXw8mTFKqcwGI9oaE2liUTZGjOO8t5OIwEjyVtYBW
TJ3/tKXUm4M0eeiEfotUUF33UnMT+YZB70+6l4vGvST9WbObV4671gEd+IFuUAFpfPtIriOnoCwU
ZzSyy0CmKIIAXDviQeEU/r+tyV/kEY2/BVLfNORgSbpD1ED83VskjfcmuGfFAlyE0jhc5Xcwavkb
+GrIzYhqg6KGoPMWSWs2SggAmWQFsh2/Ilo9b5E0Ugj8A5K4eJJTacLm/B/gqE1D9Pv+jKSf4Uoo
O2qmouK9iQa26Pe86+coMB4TKUuS8xF7OrR6QYJAE+0xrhvTMAMqR0EbQvNaF+52oMVXcqMsA5yp
/Ab0AXLmDnZ4Kar7DfZ4XZVvokZ/cCvk4LDP60fl1HP01eij3xcJhz3f8h6qIb5shfeeiQkfgCxz
qj/78gmHvlGhq5AMCPXHEWRpWzj5ZVj6NS/efsmFLdz+WMXyZATZUzoRLoPGQnMVwg0wwSVOgbkT
3nfCOzDDRNCmiDpTm4jQTjgMNmaGJSSegwbxFAo0+BAGwpHQGOzTGotCDatCqtRboBNrdGhEC/6G
4CYDv+stM0wOTQMx6gzbQwP7w1j4IDq+cathjDhm9e+dby4q4ZhYImE76Rz7QsdMEULpeYi5YtiF
i1xSXJJZfBdDi2NWKaU7R3gyZmM+kzFp9Ev43CO2jcSQ9VFqYJqRCE9H7AwTHPmc33sruUCIAhcm
OzvLi0s50xYJ5SqOlXP04ReN1pNbgDcIQ3zS6HZrCuZHsXTf6u4dZ+PCbGgTOCB/V1qc/AiG5jaX
cKVMhD+l0odnA2oRE+Dml3LvUt8VbpaFfmQ+21vWwumSSL098zC/dMEyIXGLH+bQtNc+TEf+N2ws
4ZlZY57ZcBsuGsHTSPhqQsJZGoHM2NjKlFLXSSE8OMNQonInfDkz4dCJis9VYGcnXec+6UUO0M00
b/TMvJLIRacwk04d4ffZCOdPPydiJMy4ksBwGWGtn2JlQ72wCG8wfn+0ZTQw3eQyIZYO0/K75wDR
wCePAisPtcqF/yiQGQzNUd6cEjosNB1tzMACAYcoJbYdzWzEyNQYIzBF7SpS4WSmTT8Q8zRb2zDy
mW4CVpOt/D6D3u2AABL4YpixwjWV2Aw+Qq9UUIJKfF9t8ARjT6nJVJx8jQDgbYEFq5s3VK5lSklZ
AMgOsw0bkxrSwBjzVjnrY4LMCChOdR9g70pz9ioVfq+WcH6VFDxgE+EGm0JmXzgDtaMMq9gcy1gb
61jN6LzZYIxncuM+ua2kzLTWQDbLvmqwne00UkzFdY+sSIJhzKSfQN9f9MKtthS+taoXVSAooMmH
BRpV0jhsPG2EaCwcb2NGdFJjglu30kzGFBeZHrpXwicXxsgSGaVkPkRX+Ekqwky3xVVXioZN3eKy
27c3UQyXqrcvImHDi+UuFXdhzavh0Ttw9E1qXHv9sV74Q2seA07pyFdr2OsGqlCpNGx4r8OxXhlz
rNJ0MNeqNlMlfav2FRqf0hovmHSOkFU6RyR7k43BashrY0pyP/C6ArLqDg/YoaSYrRbddWJ1GapK
tbJ0UY0WWsXcTxuns65hBvLvP9UYgYTBiN0JDH0S71i6oru5rRKmhG4mARU86zYvi7MqBugMOWab
50gvw+CoQnoO+Dvp87QDZ28qpHLyWJ66CtrOmITOEkb8BCUG2oops6mp0wcdUtuCrlM68wIb4kpL
4RPkx8qFO7LKFHRGzQCpCLZG6tSLAork1Pf19Vj751WsoZ5ioTo9BNo1PMwOM4jsoqjkJVrmN5gY
IVKrXGMpQ2ozQgiQM2vjIXadm/6xysPNukBG/FVubgHbK1N0VYRqAj3b0mBSR5X70JrjQ1nTj6t0
b+XF0ioPlUZIxiE6UTfXuQ2ppox4v5qE3yx97Glnuakg5P+g+M1WgfSY75yz0S29AmM7Va9uUNv6
Hqn1XVkgNBZHzZ3ujDIpXKfQSVP9k7EKwdLZvoFVI7ly5hXIvikaeg/hdWpqyzFHfM+NlIcuoh/o
xOHCiB1M0BzgbVpuwolQv7fmZVcdj+59R1fd1y7pzk5oh3+n/HwbaAmvJq2XcCDOVBy3yeOVCmdD
c6uw0c+V3rmg4cPSBsawkpBBmFjmGMxji7w/0PHCdLrTKo+vWtIyq4/ZfgO44INyjV7ciZ8RH6LY
dWfV9A7loj4u6jPkaSa1AWHGA9KlD9hcxEjyLtWixAOoDJBEHZdxXIantGCJlqVy7QyWtGjRjF3A
WQknI1ADFDrpTxluMu9y79gAgTCtTHRHwKl7NCbhLakrEqqtHST+uktrZAWogxvWXZgl3RImJDSW
uhiHM4Wu3dSveM/WMJorz64xaHOnGfvXsVuPwIW0MjuXR9IqrAb1IwD9Z+ARbXvT6APVnh4SjZ/b
QngCio1TeIvEUNZqbhyxGx2bLlMHQ5ZJWdNPlkpd+45ZIztEW9CYr6QV5ekzXa+8VerLW22Qt9CF
f3DkIGYCj3CQaSrZFt0KmUfnHtE8z2aIoz72AWqshucvVRn5IlqsbA+eee/3WBWizR/OO4L4Qqkg
dwF5M1tJwGTNE4/Bzn/U8rGiu1eRa60kqVPRnLPOtRwz5KBJlGkUy7cMP6e4Em/zPjxuVQ+nTWQC
y8pchnaFAYpmob/cy7hOlnhhBziMobnR3ad1Tz88vjb0YWbGxi28rouhCOmqjtFRp5uLMogvABMn
9Jb7hVLnEHj0RzbXC9wD0ym8XIpoZnEF32vBBgdrX0emzVGqs9THA8saAe2aEH1hNJ+To0EMcn3k
65xomJd9zXzovBgZqhFlDBMKTg95Ojeh8gaZuhlhq07irltaNAomOMucEeTel2V+2luxRR9KmiuQ
Z43OfuBooeGrXgFhPGHlrizVlKFp+KKIl0/DIF53CkdtpJwGbn3ixtkd6c9950ZCjMK6q9R+nfW0
iLrAAWYiQcFyDO97MsgpTJ74aAyOS71c07Bd5J1KBSqwL30j54yWzFu0VtZjD9U5DX7EOrrMEbiF
ShtOWyy2VkM5UEPrzXWiIKttJmyEEsBfI6B7buh4EKqnnTyeNKWmTT2c56DimHdhlyQXGpBQ+Hq2
NJGwH5uhLzJOUMfMp52uAnNJ0mGaVxZ2UGO5qqjszUo5/GF1xDB231xYeaUtnRKdHs+pqtOkKOlc
aB0oeAu1F8/FqcCVlg69KWJOt2ZxGRjd6TdmLR2bgZUsTT87coi2EPHPNaQgRrjjweQZUfZ/oK3x
eovCC2Se0joeLpttOVxtK7ADf7gNi59eZAAubrL/v196S3d2X+hV4/5myDEh2TwlQQpbsy6Dx/o9
6M4wHITifsHpPd/T8w3/3SXiDc/VPHFtzfom+iNYIkOPFR8yJ5RcvNcfSwqZH3mfCiZPwTiJz/vX
uPvmX4bq7x/wX/mdv34CITjx/Gr+NAGQSQn/8UhwnXdD8Sw1IbS6rJcnJZP9ZShU9RuWLPB1FH7C
d72bKH81Ff6XB0Hl7e05CCT6zw5ZFsWDXfNB1b6pMuAZtJQPchDEze89CNY3xBttenLCxJwPj/px
JqiUOxBzPMgxgL21/0RAG5sHlJGr/Pjw8jdqPaqjIUH4OkMOcjEYe48BrWA4dRaoJmpUfzEPkLIz
gCa9fNcB7gj7b4umUC2l3Q189PlD7e/XxaBQADTpsR/sahCN9z23RQRaDVXFN4YjV3w+ng2K/Q0J
B1aM8jJKhzof5I+gin8lYPh4TCKAgf6FIbbaXUMBSoIPPE92joPcGUT5es/5YIt6OGrlgpQgPmKI
3odNyH6aNjAR5HYPdRBezq4XN9A/Arn/IXT8dSYgRarwhLApds8E4bxAcInG4MEuh/13Bvsb0jKm
ob6GCiL6+DgTiCfRajXM55lysEPxslr3mw+qmPJsDc9P+nlRqJhp2cBg9JdT6fCOy096v/98e4Sp
BIuJ+fCaL32KHeVvDhR+LCMPdRAE2X+/7REml+7IPKNo7okPm+DHRYFOBfuG8vJdhzcThHLh3oOA
AC6hMpacz59PM0EnlULBGde5Qz0jXhLdffYEkxBaoWFLIeHl82EmUF+wbDAptnKoy0HeP58U/oKk
CY7gsf66DigpOLZQtzzUKfAJPfDPd0QLNTXRl2dLeDsBfx0E+ZuG8oVCf+tA14H+FVNAwZabiPF1
HXxMIIiV6NrClhV75UFGzcreqYPIp7G4QHj10zrQvynoncrUXN52icMcg5fobZ8NUQVDjnAXiLeX
1cCc/2U1KMY3g/0StPhhx4vK/vmDSZlNZWe0XvOHj6EzSTWrxcQ04VALrq/hyz7zwfimQSUgh3p5
3bsK8CggEygJm9uDXBT6/lECcDAdfz7DxI9PfESe+Us6rZA5iAKLkIY+yEFQ9k+fzG+8Y8rKbzWm
T8uBVgw/4wg51JnwSbP1nwcL7AkG5yA0zd3xIuckmq0yp8jBnpP7l1wxneZ8QJf2r5aD+s1RDAWd
9YMdhJcb22NjFDwsaoxQo162BFG0+3VPoMQmtPCgdh3qnrD/xogSsZBKoQnxMgrEHx8HAdwrRkAg
aA9zYxTaKuzYe8wEjTzZpm4k/1VjlhySdpQio8N/oIMgUNF7DoLBIKAXwXz/y5kAoRFOvHqoM+F1
iu4zE0glLUQzDezznj8M66/LQf0G0JwdQTRoDjJOUPdfDrSaaK4AY309IT/WlcRygFTqcH4c6iDs
nUqCW2HTY1uEjPD8+bgxMgiOCbtXZRSeP4c6FPunURYu1iYKW28T4tOi4CRFwYXWpP42VIe5NPaO
GWCcqJjj6YTIL7PiU8ygsouKlr19qPW21yxvn02S5Y++A+fla8zwaRBIpjhHqL4favT4GtvvMwhi
k6TpJnALb5P+40kB8Qzm0MHmEer+MYNGrYlBwNnxZQ/8uDPgSGsb4HiQ6TvU7fHlCNtvJnAUimF4
LT/vWg6WKMepr+fpgQ6FEKLYM4bUqMTLiIu/lpo+15o4SkA0UGA41Mjhk0vZP68w2N8MdD3ImV4D
g4/hk6gwOOI/VOXE51CXhiBB7jkfbKBdFF85Dz/G0QoYHsBMFOUPdTXsH0fTcyCrRED29Yj4uDGw
O9K2ktk8DnUM9p8BdCNQIjHoSHyYATy8gmwOo/NaiDvUMdg/aLToSglJWVKml8+HoQD3rav4m2BA
eKCDoDN199sKqLaB1+OFa38FaMOwwma9UIM41EHYP6nUxYsW1YO/BiugaocjNxim58+BDoX2UhHd
J2qi0sK+oKsMyPPn4+bIKak69Coc5yXLONhzYv8A8rnUYFkAtl5e+qeAgaRSRXAc2c4DnQ+vN7bf
fBDoZhoSr5vkx/OC+cAGqpBVvhxKh4fo0vevtFCNt3RFl99gbZ8GAYAjlTf04Q52k9w/bALMZMoA
duyX8HhXX4Yfso0KWQ4+B7so9o6egDkCbqOW9MYTYq/5WGQwaWobtGgOdWfY/6QQKi94YsIRfH7d
n+fDc4yJ1aZgEh1k4fGT0uQ/TioJn8DrmHBE/iJyIIYEKU/TWnk5Tw91UbziEPc5KYAxaEj+sAm+
zAce9ZdF8dytE2fFK7Tw8E4KXF33DKdRCoUwC4iLJszzZwegxaB7bxNy/+uL4l8YqT8IylM/iJ+e
qcnIC+5iMP/VL7y1aj///B3n9pl5/MtvCqryy5e/MHPF//+vX5jL6jNh9t1P3wi0z9/0+vevj/j5
y3/5srfnevvHVbAtN+WjPzz/YHi90TMM6//zP/475r+eNh8Zw6Ii+vZvO2jW72OFv786amrbtwu9
oyOTjPz5qB843P/yxZPNU1a+XejdxVlSe198gu/erhvn5va+9nQTb1peSfV2rXf3znzf//pollWf
XinhBifMF1w8rcvNb1PchHd9BVHD3l8x28a/nWXlzvFn79n7+vP4t1lWMnnervVu/Dnw977+okSy
dNfFCYj3vvgy3qbp23Xe3fhXLNdVk/zI4qf68+UFunnvWz9K8m0ZbOK3S/1598pXLNkjrCB2XPor
VuzJttwx5gLeuvegnASpt2MjEIDJva99uol27GGCSvIFl66q7a4x+YoFeppVv/136m3j7a6R+Yol
ut48sQG/jcO7ifgVS3S9wQFsx7W/YomKayNNtePW1a9Youtt+pQ9Brt2L8FS3XvarLfl4/bp7UJ/
jrvgeO1/8Yx7f7vOu2t/xTJd41q849JfsUq5dL0tt8OOy3/FSj3b5Ltmy1es07Ntu/kcOxpYBrw9
yx6x43m5YQt4u9C71/kVS/Qi3jxud8SOAh249zy8QE1rV3An6LN7X/wqIHSsgqcdIyNa4Htf/3rz
WJISpPWO6S7ay1/wBelvky0Oibu+4CuW6vVGfEGZbsqnnRuZ9hWLVnzJLNh6ux7iK1atuP6CFfAY
VI+7vuMrlq/4juNsUzS7TivRJPmSd33aBNVv5z+CKt/1HF+xmMVzrDf1dtf1v2I9c/1689tkU/7Y
7IoZ9K9Y1i/fMY13f8PXLGzxFNOyGd9e7J97qij+7/+y/c3OnFC0X/e/ODWMnYP/JYs5qCLcOpu3
+3w3MF+ylrN4syt6ENi6/QeGwGSX04/+Jeu33qRBFW+a6u1O3w3NlyxdUWbZcQ4LSvHeQ/O3JkjP
Anl7hCd/7/K799UbdoIdR7woQO8/Ln8var/vvX/nBptda1VwXfa++Ycs3rHPC7TX/pdufuyIlEW5
+3+49K6y7B8CiJ+LtW/qjrv+7NdatPiNx3i7Kf/r/wEAAP//</cx:binary>
              </cx:geoCache>
            </cx:geography>
          </cx:layoutPr>
          <cx:valueColors>
            <cx:minColor>
              <a:schemeClr val="accent6">
                <a:lumMod val="20000"/>
                <a:lumOff val="80000"/>
              </a:schemeClr>
            </cx:minColor>
            <cx:maxColor>
              <a:srgbClr val="002060"/>
            </cx:maxColor>
          </cx:valueColors>
        </cx:series>
      </cx:plotAreaRegion>
    </cx:plotArea>
  </cx:chart>
  <cx:spPr>
    <a:solidFill>
      <a:schemeClr val="bg1">
        <a:lumMod val="95000"/>
      </a:schemeClr>
    </a:solidFill>
    <a:ln>
      <a:solidFill>
        <a:schemeClr val="bg1">
          <a:lumMod val="8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28575</xdr:rowOff>
    </xdr:from>
    <xdr:to>
      <xdr:col>26</xdr:col>
      <xdr:colOff>0</xdr:colOff>
      <xdr:row>1</xdr:row>
      <xdr:rowOff>161925</xdr:rowOff>
    </xdr:to>
    <xdr:sp macro="" textlink="">
      <xdr:nvSpPr>
        <xdr:cNvPr id="74" name="Rectangle 73">
          <a:extLst>
            <a:ext uri="{FF2B5EF4-FFF2-40B4-BE49-F238E27FC236}">
              <a16:creationId xmlns:a16="http://schemas.microsoft.com/office/drawing/2014/main" id="{93C6D99C-F864-DE9A-07CF-7E72B2CF175B}"/>
            </a:ext>
          </a:extLst>
        </xdr:cNvPr>
        <xdr:cNvSpPr>
          <a:spLocks noChangeAspect="1"/>
        </xdr:cNvSpPr>
      </xdr:nvSpPr>
      <xdr:spPr>
        <a:xfrm>
          <a:off x="0" y="28575"/>
          <a:ext cx="15721853" cy="861732"/>
        </a:xfrm>
        <a:prstGeom prst="rect">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5400000" scaled="1"/>
          <a:tileRect/>
        </a:gra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noFill/>
          </a:endParaRPr>
        </a:p>
      </xdr:txBody>
    </xdr:sp>
    <xdr:clientData/>
  </xdr:twoCellAnchor>
  <xdr:twoCellAnchor editAs="absolute">
    <xdr:from>
      <xdr:col>2</xdr:col>
      <xdr:colOff>150896</xdr:colOff>
      <xdr:row>2</xdr:row>
      <xdr:rowOff>5471</xdr:rowOff>
    </xdr:from>
    <xdr:to>
      <xdr:col>25</xdr:col>
      <xdr:colOff>600075</xdr:colOff>
      <xdr:row>42</xdr:row>
      <xdr:rowOff>0</xdr:rowOff>
    </xdr:to>
    <xdr:sp macro="" textlink="">
      <xdr:nvSpPr>
        <xdr:cNvPr id="3" name="Rectangle 2">
          <a:extLst>
            <a:ext uri="{FF2B5EF4-FFF2-40B4-BE49-F238E27FC236}">
              <a16:creationId xmlns:a16="http://schemas.microsoft.com/office/drawing/2014/main" id="{F8C2AA0B-44AC-4E38-8D7A-ED41D0615C4B}"/>
            </a:ext>
          </a:extLst>
        </xdr:cNvPr>
        <xdr:cNvSpPr>
          <a:spLocks noChangeAspect="1"/>
        </xdr:cNvSpPr>
      </xdr:nvSpPr>
      <xdr:spPr>
        <a:xfrm>
          <a:off x="1732046" y="919871"/>
          <a:ext cx="14079454" cy="7614529"/>
        </a:xfrm>
        <a:prstGeom prst="rect">
          <a:avLst/>
        </a:prstGeom>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10800000" scaled="1"/>
          <a:tileRect/>
        </a:gra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0</xdr:colOff>
      <xdr:row>1</xdr:row>
      <xdr:rowOff>182394</xdr:rowOff>
    </xdr:from>
    <xdr:to>
      <xdr:col>3</xdr:col>
      <xdr:colOff>9524</xdr:colOff>
      <xdr:row>42</xdr:row>
      <xdr:rowOff>0</xdr:rowOff>
    </xdr:to>
    <xdr:sp macro="" textlink="">
      <xdr:nvSpPr>
        <xdr:cNvPr id="2" name="Rectangle 1">
          <a:extLst>
            <a:ext uri="{FF2B5EF4-FFF2-40B4-BE49-F238E27FC236}">
              <a16:creationId xmlns:a16="http://schemas.microsoft.com/office/drawing/2014/main" id="{07B05B14-F3C7-0410-9947-8EEACE6AED5A}"/>
            </a:ext>
          </a:extLst>
        </xdr:cNvPr>
        <xdr:cNvSpPr>
          <a:spLocks noChangeAspect="1"/>
        </xdr:cNvSpPr>
      </xdr:nvSpPr>
      <xdr:spPr>
        <a:xfrm>
          <a:off x="0" y="910776"/>
          <a:ext cx="1813671" cy="7628106"/>
        </a:xfrm>
        <a:prstGeom prst="rect">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0800000" scaled="1"/>
          <a:tileRect/>
        </a:gra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IN" sz="1200" b="1"/>
        </a:p>
      </xdr:txBody>
    </xdr:sp>
    <xdr:clientData/>
  </xdr:twoCellAnchor>
  <xdr:twoCellAnchor editAs="absolute">
    <xdr:from>
      <xdr:col>0</xdr:col>
      <xdr:colOff>133350</xdr:colOff>
      <xdr:row>6</xdr:row>
      <xdr:rowOff>88900</xdr:rowOff>
    </xdr:from>
    <xdr:to>
      <xdr:col>1</xdr:col>
      <xdr:colOff>714375</xdr:colOff>
      <xdr:row>8</xdr:row>
      <xdr:rowOff>9525</xdr:rowOff>
    </xdr:to>
    <xdr:sp macro="" textlink="'1_pivot'!I4">
      <xdr:nvSpPr>
        <xdr:cNvPr id="4" name="TextBox 3">
          <a:extLst>
            <a:ext uri="{FF2B5EF4-FFF2-40B4-BE49-F238E27FC236}">
              <a16:creationId xmlns:a16="http://schemas.microsoft.com/office/drawing/2014/main" id="{1C512320-5FF8-ECFB-8114-9D247D6FD523}"/>
            </a:ext>
          </a:extLst>
        </xdr:cNvPr>
        <xdr:cNvSpPr txBox="1">
          <a:spLocks noChangeAspect="1"/>
        </xdr:cNvSpPr>
      </xdr:nvSpPr>
      <xdr:spPr>
        <a:xfrm>
          <a:off x="133350" y="1769782"/>
          <a:ext cx="827554" cy="30162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1FD453-0380-44D9-BCE4-B0710B001FCE}" type="TxLink">
            <a:rPr lang="en-US" sz="2000" b="1" i="0" u="none" strike="noStrike">
              <a:gradFill>
                <a:gsLst>
                  <a:gs pos="0">
                    <a:schemeClr val="bg1"/>
                  </a:gs>
                  <a:gs pos="100000">
                    <a:schemeClr val="bg1">
                      <a:lumMod val="65000"/>
                    </a:schemeClr>
                  </a:gs>
                </a:gsLst>
                <a:lin ang="5400000" scaled="1"/>
              </a:gradFill>
              <a:latin typeface="Aptos Narrow"/>
            </a:rPr>
            <a:pPr algn="ctr"/>
            <a:t>2,400</a:t>
          </a:fld>
          <a:endParaRPr lang="en-IN" sz="2000" b="1">
            <a:gradFill>
              <a:gsLst>
                <a:gs pos="0">
                  <a:schemeClr val="bg1"/>
                </a:gs>
                <a:gs pos="100000">
                  <a:schemeClr val="bg1">
                    <a:lumMod val="65000"/>
                  </a:schemeClr>
                </a:gs>
              </a:gsLst>
              <a:lin ang="5400000" scaled="1"/>
            </a:gradFill>
          </a:endParaRPr>
        </a:p>
      </xdr:txBody>
    </xdr:sp>
    <xdr:clientData/>
  </xdr:twoCellAnchor>
  <xdr:twoCellAnchor editAs="absolute">
    <xdr:from>
      <xdr:col>0</xdr:col>
      <xdr:colOff>66675</xdr:colOff>
      <xdr:row>9</xdr:row>
      <xdr:rowOff>180975</xdr:rowOff>
    </xdr:from>
    <xdr:to>
      <xdr:col>1</xdr:col>
      <xdr:colOff>771525</xdr:colOff>
      <xdr:row>11</xdr:row>
      <xdr:rowOff>133350</xdr:rowOff>
    </xdr:to>
    <xdr:sp macro="" textlink="'1_pivot'!J4">
      <xdr:nvSpPr>
        <xdr:cNvPr id="5" name="TextBox 4">
          <a:extLst>
            <a:ext uri="{FF2B5EF4-FFF2-40B4-BE49-F238E27FC236}">
              <a16:creationId xmlns:a16="http://schemas.microsoft.com/office/drawing/2014/main" id="{8264387C-F12E-4B72-9D6B-1BB088EAC0CA}"/>
            </a:ext>
          </a:extLst>
        </xdr:cNvPr>
        <xdr:cNvSpPr txBox="1">
          <a:spLocks noChangeAspect="1"/>
        </xdr:cNvSpPr>
      </xdr:nvSpPr>
      <xdr:spPr>
        <a:xfrm>
          <a:off x="66675" y="2433357"/>
          <a:ext cx="951379" cy="33337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35DB89-B1B8-4206-836D-E79AC09D0FD0}" type="TxLink">
            <a:rPr lang="en-US" sz="2000" b="1" i="0" u="none" strike="noStrike">
              <a:gradFill>
                <a:gsLst>
                  <a:gs pos="0">
                    <a:schemeClr val="bg1"/>
                  </a:gs>
                  <a:gs pos="100000">
                    <a:schemeClr val="bg1">
                      <a:lumMod val="65000"/>
                    </a:schemeClr>
                  </a:gs>
                </a:gsLst>
                <a:lin ang="5400000" scaled="1"/>
              </a:gradFill>
              <a:latin typeface="Aptos Narrow"/>
              <a:ea typeface="+mn-ea"/>
              <a:cs typeface="+mn-cs"/>
            </a:rPr>
            <a:pPr marL="0" indent="0" algn="ctr"/>
            <a:t>11,997</a:t>
          </a:fld>
          <a:endParaRPr lang="en-IN" sz="2000" b="1" i="0" u="none" strike="noStrike">
            <a:gradFill>
              <a:gsLst>
                <a:gs pos="0">
                  <a:schemeClr val="bg1"/>
                </a:gs>
                <a:gs pos="100000">
                  <a:schemeClr val="bg1">
                    <a:lumMod val="65000"/>
                  </a:schemeClr>
                </a:gs>
              </a:gsLst>
              <a:lin ang="5400000" scaled="1"/>
            </a:gradFill>
            <a:latin typeface="Aptos Narrow"/>
            <a:ea typeface="+mn-ea"/>
            <a:cs typeface="+mn-cs"/>
          </a:endParaRPr>
        </a:p>
      </xdr:txBody>
    </xdr:sp>
    <xdr:clientData/>
  </xdr:twoCellAnchor>
  <xdr:twoCellAnchor editAs="absolute">
    <xdr:from>
      <xdr:col>0</xdr:col>
      <xdr:colOff>85725</xdr:colOff>
      <xdr:row>13</xdr:row>
      <xdr:rowOff>120650</xdr:rowOff>
    </xdr:from>
    <xdr:to>
      <xdr:col>1</xdr:col>
      <xdr:colOff>866775</xdr:colOff>
      <xdr:row>15</xdr:row>
      <xdr:rowOff>95250</xdr:rowOff>
    </xdr:to>
    <xdr:sp macro="" textlink="'1_pivot'!K4">
      <xdr:nvSpPr>
        <xdr:cNvPr id="6" name="TextBox 5">
          <a:extLst>
            <a:ext uri="{FF2B5EF4-FFF2-40B4-BE49-F238E27FC236}">
              <a16:creationId xmlns:a16="http://schemas.microsoft.com/office/drawing/2014/main" id="{86ABC9D7-880B-4D28-BB89-89F154AFFF94}"/>
            </a:ext>
          </a:extLst>
        </xdr:cNvPr>
        <xdr:cNvSpPr txBox="1">
          <a:spLocks noChangeAspect="1"/>
        </xdr:cNvSpPr>
      </xdr:nvSpPr>
      <xdr:spPr>
        <a:xfrm>
          <a:off x="85725" y="3135032"/>
          <a:ext cx="1027579" cy="35560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C2F887-5050-4A42-AD82-28D4F33AE139}" type="TxLink">
            <a:rPr lang="en-US" sz="2000" b="1" i="0" u="none" strike="noStrike">
              <a:gradFill>
                <a:gsLst>
                  <a:gs pos="6000">
                    <a:schemeClr val="bg1"/>
                  </a:gs>
                  <a:gs pos="100000">
                    <a:srgbClr val="FFC000"/>
                  </a:gs>
                </a:gsLst>
                <a:lin ang="5400000" scaled="1"/>
              </a:gradFill>
              <a:latin typeface="Aptos Narrow"/>
              <a:ea typeface="+mn-ea"/>
              <a:cs typeface="+mn-cs"/>
            </a:rPr>
            <a:pPr marL="0" indent="0" algn="ctr"/>
            <a:t>₹649.0k</a:t>
          </a:fld>
          <a:endParaRPr lang="en-IN" sz="2000" b="1" i="0" u="none" strike="noStrike">
            <a:gradFill>
              <a:gsLst>
                <a:gs pos="6000">
                  <a:schemeClr val="bg1"/>
                </a:gs>
                <a:gs pos="100000">
                  <a:srgbClr val="FFC000"/>
                </a:gs>
              </a:gsLst>
              <a:lin ang="5400000" scaled="1"/>
            </a:gradFill>
            <a:latin typeface="Aptos Narrow"/>
            <a:ea typeface="+mn-ea"/>
            <a:cs typeface="+mn-cs"/>
          </a:endParaRPr>
        </a:p>
      </xdr:txBody>
    </xdr:sp>
    <xdr:clientData/>
  </xdr:twoCellAnchor>
  <xdr:twoCellAnchor editAs="absolute">
    <xdr:from>
      <xdr:col>0</xdr:col>
      <xdr:colOff>66675</xdr:colOff>
      <xdr:row>20</xdr:row>
      <xdr:rowOff>123825</xdr:rowOff>
    </xdr:from>
    <xdr:to>
      <xdr:col>1</xdr:col>
      <xdr:colOff>409574</xdr:colOff>
      <xdr:row>22</xdr:row>
      <xdr:rowOff>38100</xdr:rowOff>
    </xdr:to>
    <xdr:sp macro="" textlink="'1_pivot'!M4">
      <xdr:nvSpPr>
        <xdr:cNvPr id="7" name="TextBox 6">
          <a:extLst>
            <a:ext uri="{FF2B5EF4-FFF2-40B4-BE49-F238E27FC236}">
              <a16:creationId xmlns:a16="http://schemas.microsoft.com/office/drawing/2014/main" id="{F9FBE9C5-818B-4009-9717-6783CBBEB559}"/>
            </a:ext>
          </a:extLst>
        </xdr:cNvPr>
        <xdr:cNvSpPr txBox="1">
          <a:spLocks noChangeAspect="1"/>
        </xdr:cNvSpPr>
      </xdr:nvSpPr>
      <xdr:spPr>
        <a:xfrm>
          <a:off x="66675" y="4471707"/>
          <a:ext cx="589428" cy="29527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172ADD8-C8BD-44AB-89D7-318687050C3C}" type="TxLink">
            <a:rPr lang="en-US" sz="2000" b="1" i="0" u="none" strike="noStrike">
              <a:gradFill>
                <a:gsLst>
                  <a:gs pos="0">
                    <a:schemeClr val="bg1"/>
                  </a:gs>
                  <a:gs pos="100000">
                    <a:schemeClr val="bg1">
                      <a:lumMod val="65000"/>
                    </a:schemeClr>
                  </a:gs>
                </a:gsLst>
                <a:lin ang="5400000" scaled="1"/>
              </a:gradFill>
              <a:latin typeface="Aptos Narrow"/>
              <a:ea typeface="+mn-ea"/>
              <a:cs typeface="+mn-cs"/>
            </a:rPr>
            <a:pPr marL="0" indent="0" algn="ctr"/>
            <a:t>2.3</a:t>
          </a:fld>
          <a:endParaRPr lang="en-IN" sz="2000" b="1" i="0" u="none" strike="noStrike">
            <a:gradFill>
              <a:gsLst>
                <a:gs pos="0">
                  <a:schemeClr val="bg1"/>
                </a:gs>
                <a:gs pos="100000">
                  <a:schemeClr val="bg1">
                    <a:lumMod val="65000"/>
                  </a:schemeClr>
                </a:gs>
              </a:gsLst>
              <a:lin ang="5400000" scaled="1"/>
            </a:gradFill>
            <a:latin typeface="Aptos Narrow"/>
            <a:ea typeface="+mn-ea"/>
            <a:cs typeface="+mn-cs"/>
          </a:endParaRPr>
        </a:p>
      </xdr:txBody>
    </xdr:sp>
    <xdr:clientData/>
  </xdr:twoCellAnchor>
  <xdr:twoCellAnchor editAs="absolute">
    <xdr:from>
      <xdr:col>0</xdr:col>
      <xdr:colOff>9525</xdr:colOff>
      <xdr:row>17</xdr:row>
      <xdr:rowOff>50801</xdr:rowOff>
    </xdr:from>
    <xdr:to>
      <xdr:col>1</xdr:col>
      <xdr:colOff>466724</xdr:colOff>
      <xdr:row>18</xdr:row>
      <xdr:rowOff>133351</xdr:rowOff>
    </xdr:to>
    <xdr:sp macro="" textlink="'1_pivot'!L4">
      <xdr:nvSpPr>
        <xdr:cNvPr id="8" name="TextBox 7">
          <a:extLst>
            <a:ext uri="{FF2B5EF4-FFF2-40B4-BE49-F238E27FC236}">
              <a16:creationId xmlns:a16="http://schemas.microsoft.com/office/drawing/2014/main" id="{BA204136-7C3B-4CDF-B90A-5C16E96BFEFC}"/>
            </a:ext>
          </a:extLst>
        </xdr:cNvPr>
        <xdr:cNvSpPr txBox="1">
          <a:spLocks noChangeAspect="1"/>
        </xdr:cNvSpPr>
      </xdr:nvSpPr>
      <xdr:spPr>
        <a:xfrm>
          <a:off x="9525" y="3827183"/>
          <a:ext cx="703728" cy="27305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BB04A9-0433-40A2-9236-2B979E303108}" type="TxLink">
            <a:rPr lang="en-US" sz="2000" b="1" i="0" u="none" strike="noStrike">
              <a:gradFill>
                <a:gsLst>
                  <a:gs pos="0">
                    <a:schemeClr val="bg1"/>
                  </a:gs>
                  <a:gs pos="100000">
                    <a:schemeClr val="bg1">
                      <a:lumMod val="65000"/>
                    </a:schemeClr>
                  </a:gs>
                </a:gsLst>
                <a:lin ang="5400000" scaled="1"/>
              </a:gradFill>
              <a:latin typeface="Aptos Narrow"/>
              <a:ea typeface="+mn-ea"/>
              <a:cs typeface="+mn-cs"/>
            </a:rPr>
            <a:pPr marL="0" indent="0" algn="ctr"/>
            <a:t>4.0</a:t>
          </a:fld>
          <a:endParaRPr lang="en-IN" sz="2000" b="1" i="0" u="none" strike="noStrike">
            <a:gradFill>
              <a:gsLst>
                <a:gs pos="0">
                  <a:schemeClr val="bg1"/>
                </a:gs>
                <a:gs pos="100000">
                  <a:schemeClr val="bg1">
                    <a:lumMod val="65000"/>
                  </a:schemeClr>
                </a:gs>
              </a:gsLst>
              <a:lin ang="5400000" scaled="1"/>
            </a:gradFill>
            <a:latin typeface="Aptos Narrow"/>
            <a:ea typeface="+mn-ea"/>
            <a:cs typeface="+mn-cs"/>
          </a:endParaRPr>
        </a:p>
      </xdr:txBody>
    </xdr:sp>
    <xdr:clientData/>
  </xdr:twoCellAnchor>
  <xdr:twoCellAnchor editAs="absolute">
    <xdr:from>
      <xdr:col>0</xdr:col>
      <xdr:colOff>0</xdr:colOff>
      <xdr:row>4</xdr:row>
      <xdr:rowOff>161925</xdr:rowOff>
    </xdr:from>
    <xdr:to>
      <xdr:col>1</xdr:col>
      <xdr:colOff>876300</xdr:colOff>
      <xdr:row>6</xdr:row>
      <xdr:rowOff>161925</xdr:rowOff>
    </xdr:to>
    <xdr:sp macro="" textlink="">
      <xdr:nvSpPr>
        <xdr:cNvPr id="11" name="TextBox 10">
          <a:extLst>
            <a:ext uri="{FF2B5EF4-FFF2-40B4-BE49-F238E27FC236}">
              <a16:creationId xmlns:a16="http://schemas.microsoft.com/office/drawing/2014/main" id="{6BACCBFD-8DE8-9CF0-0B30-259110224D00}"/>
            </a:ext>
          </a:extLst>
        </xdr:cNvPr>
        <xdr:cNvSpPr txBox="1">
          <a:spLocks noChangeAspect="1"/>
        </xdr:cNvSpPr>
      </xdr:nvSpPr>
      <xdr:spPr>
        <a:xfrm>
          <a:off x="0" y="1461807"/>
          <a:ext cx="112282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t>🛒 </a:t>
          </a:r>
          <a:r>
            <a:rPr lang="en-US" sz="1400" b="0">
              <a:solidFill>
                <a:schemeClr val="bg1"/>
              </a:solidFill>
            </a:rPr>
            <a:t>Orders</a:t>
          </a:r>
        </a:p>
      </xdr:txBody>
    </xdr:sp>
    <xdr:clientData/>
  </xdr:twoCellAnchor>
  <xdr:twoCellAnchor editAs="absolute">
    <xdr:from>
      <xdr:col>0</xdr:col>
      <xdr:colOff>0</xdr:colOff>
      <xdr:row>8</xdr:row>
      <xdr:rowOff>120650</xdr:rowOff>
    </xdr:from>
    <xdr:to>
      <xdr:col>1</xdr:col>
      <xdr:colOff>876299</xdr:colOff>
      <xdr:row>10</xdr:row>
      <xdr:rowOff>47625</xdr:rowOff>
    </xdr:to>
    <xdr:sp macro="" textlink="">
      <xdr:nvSpPr>
        <xdr:cNvPr id="18" name="TextBox 17">
          <a:extLst>
            <a:ext uri="{FF2B5EF4-FFF2-40B4-BE49-F238E27FC236}">
              <a16:creationId xmlns:a16="http://schemas.microsoft.com/office/drawing/2014/main" id="{246F79F1-6826-4C71-9AFE-09B54624CD32}"/>
            </a:ext>
          </a:extLst>
        </xdr:cNvPr>
        <xdr:cNvSpPr txBox="1">
          <a:spLocks noChangeAspect="1"/>
        </xdr:cNvSpPr>
      </xdr:nvSpPr>
      <xdr:spPr>
        <a:xfrm>
          <a:off x="0" y="2182532"/>
          <a:ext cx="1122828"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 👕 </a:t>
          </a:r>
          <a:r>
            <a:rPr lang="en-US" sz="1400" b="0">
              <a:solidFill>
                <a:schemeClr val="bg1"/>
              </a:solidFill>
            </a:rPr>
            <a:t>Quantity</a:t>
          </a:r>
        </a:p>
      </xdr:txBody>
    </xdr:sp>
    <xdr:clientData/>
  </xdr:twoCellAnchor>
  <xdr:twoCellAnchor editAs="absolute">
    <xdr:from>
      <xdr:col>0</xdr:col>
      <xdr:colOff>0</xdr:colOff>
      <xdr:row>12</xdr:row>
      <xdr:rowOff>3175</xdr:rowOff>
    </xdr:from>
    <xdr:to>
      <xdr:col>1</xdr:col>
      <xdr:colOff>847725</xdr:colOff>
      <xdr:row>13</xdr:row>
      <xdr:rowOff>133350</xdr:rowOff>
    </xdr:to>
    <xdr:sp macro="" textlink="">
      <xdr:nvSpPr>
        <xdr:cNvPr id="19" name="TextBox 18">
          <a:extLst>
            <a:ext uri="{FF2B5EF4-FFF2-40B4-BE49-F238E27FC236}">
              <a16:creationId xmlns:a16="http://schemas.microsoft.com/office/drawing/2014/main" id="{FBAE672C-E66E-4173-BC70-DBDB108058A8}"/>
            </a:ext>
          </a:extLst>
        </xdr:cNvPr>
        <xdr:cNvSpPr txBox="1">
          <a:spLocks noChangeAspect="1"/>
        </xdr:cNvSpPr>
      </xdr:nvSpPr>
      <xdr:spPr>
        <a:xfrm>
          <a:off x="0" y="2827057"/>
          <a:ext cx="1094254" cy="32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dk1"/>
              </a:solidFill>
              <a:effectLst/>
              <a:latin typeface="+mn-lt"/>
              <a:ea typeface="+mn-ea"/>
              <a:cs typeface="+mn-cs"/>
            </a:rPr>
            <a:t>💰 </a:t>
          </a:r>
          <a:r>
            <a:rPr lang="en-US" sz="1400" b="0">
              <a:solidFill>
                <a:schemeClr val="bg1"/>
              </a:solidFill>
              <a:latin typeface="+mn-lt"/>
              <a:ea typeface="+mn-ea"/>
              <a:cs typeface="+mn-cs"/>
            </a:rPr>
            <a:t>Amount</a:t>
          </a:r>
          <a:r>
            <a:rPr lang="en-US" sz="1400"/>
            <a:t> </a:t>
          </a:r>
        </a:p>
      </xdr:txBody>
    </xdr:sp>
    <xdr:clientData/>
  </xdr:twoCellAnchor>
  <xdr:twoCellAnchor editAs="absolute">
    <xdr:from>
      <xdr:col>0</xdr:col>
      <xdr:colOff>0</xdr:colOff>
      <xdr:row>15</xdr:row>
      <xdr:rowOff>133351</xdr:rowOff>
    </xdr:from>
    <xdr:to>
      <xdr:col>1</xdr:col>
      <xdr:colOff>1047750</xdr:colOff>
      <xdr:row>17</xdr:row>
      <xdr:rowOff>76201</xdr:rowOff>
    </xdr:to>
    <xdr:sp macro="" textlink="">
      <xdr:nvSpPr>
        <xdr:cNvPr id="22" name="TextBox 21">
          <a:extLst>
            <a:ext uri="{FF2B5EF4-FFF2-40B4-BE49-F238E27FC236}">
              <a16:creationId xmlns:a16="http://schemas.microsoft.com/office/drawing/2014/main" id="{3F05D4B8-E6B6-40B8-B7A0-62FCEEDE77F3}"/>
            </a:ext>
          </a:extLst>
        </xdr:cNvPr>
        <xdr:cNvSpPr txBox="1">
          <a:spLocks noChangeAspect="1"/>
        </xdr:cNvSpPr>
      </xdr:nvSpPr>
      <xdr:spPr>
        <a:xfrm>
          <a:off x="0" y="3528733"/>
          <a:ext cx="1294279"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a:t>
          </a:r>
          <a:r>
            <a:rPr lang="en-US" sz="1400" baseline="0"/>
            <a:t> </a:t>
          </a:r>
          <a:r>
            <a:rPr lang="en-US" sz="1400" b="0" baseline="0">
              <a:solidFill>
                <a:schemeClr val="bg1"/>
              </a:solidFill>
            </a:rPr>
            <a:t>Avg</a:t>
          </a:r>
          <a:r>
            <a:rPr lang="en-US" sz="1400" b="1" baseline="0">
              <a:solidFill>
                <a:schemeClr val="bg1"/>
              </a:solidFill>
            </a:rPr>
            <a:t>. </a:t>
          </a:r>
          <a:r>
            <a:rPr lang="en-US" sz="1400" b="0" baseline="0">
              <a:solidFill>
                <a:schemeClr val="bg1"/>
              </a:solidFill>
            </a:rPr>
            <a:t>Rating</a:t>
          </a:r>
          <a:endParaRPr lang="en-US" sz="1400" b="0">
            <a:solidFill>
              <a:schemeClr val="bg1"/>
            </a:solidFill>
          </a:endParaRPr>
        </a:p>
      </xdr:txBody>
    </xdr:sp>
    <xdr:clientData/>
  </xdr:twoCellAnchor>
  <xdr:twoCellAnchor editAs="absolute">
    <xdr:from>
      <xdr:col>0</xdr:col>
      <xdr:colOff>0</xdr:colOff>
      <xdr:row>19</xdr:row>
      <xdr:rowOff>6350</xdr:rowOff>
    </xdr:from>
    <xdr:to>
      <xdr:col>2</xdr:col>
      <xdr:colOff>80963</xdr:colOff>
      <xdr:row>20</xdr:row>
      <xdr:rowOff>123825</xdr:rowOff>
    </xdr:to>
    <xdr:sp macro="" textlink="">
      <xdr:nvSpPr>
        <xdr:cNvPr id="24" name="TextBox 23">
          <a:extLst>
            <a:ext uri="{FF2B5EF4-FFF2-40B4-BE49-F238E27FC236}">
              <a16:creationId xmlns:a16="http://schemas.microsoft.com/office/drawing/2014/main" id="{7DABC65E-62B1-4005-BBCC-62B296B6123E}"/>
            </a:ext>
          </a:extLst>
        </xdr:cNvPr>
        <xdr:cNvSpPr txBox="1">
          <a:spLocks noChangeAspect="1"/>
        </xdr:cNvSpPr>
      </xdr:nvSpPr>
      <xdr:spPr>
        <a:xfrm>
          <a:off x="0" y="4163732"/>
          <a:ext cx="1660992"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dk1"/>
              </a:solidFill>
              <a:effectLst/>
              <a:latin typeface="+mn-lt"/>
              <a:ea typeface="+mn-ea"/>
              <a:cs typeface="+mn-cs"/>
            </a:rPr>
            <a:t>📅</a:t>
          </a:r>
          <a:r>
            <a:rPr lang="en-US" sz="1400" b="1" baseline="0">
              <a:solidFill>
                <a:schemeClr val="bg1"/>
              </a:solidFill>
              <a:latin typeface="+mn-lt"/>
              <a:ea typeface="+mn-ea"/>
              <a:cs typeface="+mn-cs"/>
            </a:rPr>
            <a:t>Days to Deliver</a:t>
          </a:r>
          <a:endParaRPr lang="en-US" sz="1400">
            <a:solidFill>
              <a:schemeClr val="dk1"/>
            </a:solidFill>
            <a:effectLst/>
            <a:latin typeface="+mn-lt"/>
            <a:ea typeface="+mn-ea"/>
            <a:cs typeface="+mn-cs"/>
          </a:endParaRPr>
        </a:p>
      </xdr:txBody>
    </xdr:sp>
    <xdr:clientData/>
  </xdr:twoCellAnchor>
  <xdr:twoCellAnchor editAs="absolute">
    <xdr:from>
      <xdr:col>3</xdr:col>
      <xdr:colOff>296572</xdr:colOff>
      <xdr:row>3</xdr:row>
      <xdr:rowOff>91326</xdr:rowOff>
    </xdr:from>
    <xdr:to>
      <xdr:col>10</xdr:col>
      <xdr:colOff>259976</xdr:colOff>
      <xdr:row>15</xdr:row>
      <xdr:rowOff>158002</xdr:rowOff>
    </xdr:to>
    <xdr:graphicFrame macro="">
      <xdr:nvGraphicFramePr>
        <xdr:cNvPr id="25" name="Chart 24">
          <a:extLst>
            <a:ext uri="{FF2B5EF4-FFF2-40B4-BE49-F238E27FC236}">
              <a16:creationId xmlns:a16="http://schemas.microsoft.com/office/drawing/2014/main" id="{53762C41-FA7F-4AD0-AD62-A527EB11AFE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534519</xdr:colOff>
      <xdr:row>3</xdr:row>
      <xdr:rowOff>110377</xdr:rowOff>
    </xdr:from>
    <xdr:to>
      <xdr:col>17</xdr:col>
      <xdr:colOff>524995</xdr:colOff>
      <xdr:row>15</xdr:row>
      <xdr:rowOff>148477</xdr:rowOff>
    </xdr:to>
    <xdr:sp macro="" textlink="">
      <xdr:nvSpPr>
        <xdr:cNvPr id="9" name="Rectangle 8">
          <a:extLst>
            <a:ext uri="{FF2B5EF4-FFF2-40B4-BE49-F238E27FC236}">
              <a16:creationId xmlns:a16="http://schemas.microsoft.com/office/drawing/2014/main" id="{9675EBD5-167A-D154-421B-CADCD70E0826}"/>
            </a:ext>
          </a:extLst>
        </xdr:cNvPr>
        <xdr:cNvSpPr>
          <a:spLocks noChangeAspect="1"/>
        </xdr:cNvSpPr>
      </xdr:nvSpPr>
      <xdr:spPr>
        <a:xfrm>
          <a:off x="6574490" y="1219759"/>
          <a:ext cx="4226299" cy="2324100"/>
        </a:xfrm>
        <a:prstGeom prst="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absolute">
        <xdr:from>
          <xdr:col>11</xdr:col>
          <xdr:colOff>126626</xdr:colOff>
          <xdr:row>5</xdr:row>
          <xdr:rowOff>115981</xdr:rowOff>
        </xdr:from>
        <xdr:to>
          <xdr:col>17</xdr:col>
          <xdr:colOff>348949</xdr:colOff>
          <xdr:row>14</xdr:row>
          <xdr:rowOff>182656</xdr:rowOff>
        </xdr:to>
        <xdr:pic>
          <xdr:nvPicPr>
            <xdr:cNvPr id="28" name="Picture 27">
              <a:extLst>
                <a:ext uri="{FF2B5EF4-FFF2-40B4-BE49-F238E27FC236}">
                  <a16:creationId xmlns:a16="http://schemas.microsoft.com/office/drawing/2014/main" id="{1A329E23-07E2-3EC0-A359-E1A424784A4C}"/>
                </a:ext>
              </a:extLst>
            </xdr:cNvPr>
            <xdr:cNvPicPr>
              <a:picLocks noChangeAspect="1" noChangeArrowheads="1"/>
              <a:extLst>
                <a:ext uri="{84589F7E-364E-4C9E-8A38-B11213B215E9}">
                  <a14:cameraTool cellRange="'2_pivot'!$H$4:$L$9" spid="_x0000_s6181"/>
                </a:ext>
              </a:extLst>
            </xdr:cNvPicPr>
          </xdr:nvPicPr>
          <xdr:blipFill>
            <a:blip xmlns:r="http://schemas.openxmlformats.org/officeDocument/2006/relationships" r:embed="rId2"/>
            <a:srcRect/>
            <a:stretch>
              <a:fillRect/>
            </a:stretch>
          </xdr:blipFill>
          <xdr:spPr bwMode="auto">
            <a:xfrm>
              <a:off x="6771714" y="1606363"/>
              <a:ext cx="3853029" cy="1781175"/>
            </a:xfrm>
            <a:prstGeom prst="rect">
              <a:avLst/>
            </a:prstGeom>
            <a:extLst>
              <a:ext uri="{909E8E84-426E-40DD-AFC4-6F175D3DCCD1}">
                <a14:hiddenFill>
                  <a:solidFill>
                    <a:srgbClr val="FFFFFF"/>
                  </a:solidFill>
                </a14:hiddenFill>
              </a:ext>
            </a:extLst>
          </xdr:spPr>
        </xdr:pic>
        <xdr:clientData/>
      </xdr:twoCellAnchor>
    </mc:Choice>
    <mc:Fallback/>
  </mc:AlternateContent>
  <xdr:twoCellAnchor editAs="absolute">
    <xdr:from>
      <xdr:col>18</xdr:col>
      <xdr:colOff>182273</xdr:colOff>
      <xdr:row>3</xdr:row>
      <xdr:rowOff>100851</xdr:rowOff>
    </xdr:from>
    <xdr:to>
      <xdr:col>25</xdr:col>
      <xdr:colOff>298076</xdr:colOff>
      <xdr:row>15</xdr:row>
      <xdr:rowOff>167527</xdr:rowOff>
    </xdr:to>
    <xdr:graphicFrame macro="">
      <xdr:nvGraphicFramePr>
        <xdr:cNvPr id="10" name="Chart 9">
          <a:extLst>
            <a:ext uri="{FF2B5EF4-FFF2-40B4-BE49-F238E27FC236}">
              <a16:creationId xmlns:a16="http://schemas.microsoft.com/office/drawing/2014/main" id="{5C965D46-D644-44CB-9125-282E3DECCCA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269501</xdr:colOff>
      <xdr:row>17</xdr:row>
      <xdr:rowOff>24652</xdr:rowOff>
    </xdr:from>
    <xdr:to>
      <xdr:col>10</xdr:col>
      <xdr:colOff>298076</xdr:colOff>
      <xdr:row>40</xdr:row>
      <xdr:rowOff>119902</xdr:rowOff>
    </xdr:to>
    <xdr:graphicFrame macro="">
      <xdr:nvGraphicFramePr>
        <xdr:cNvPr id="12" name="Chart 11">
          <a:extLst>
            <a:ext uri="{FF2B5EF4-FFF2-40B4-BE49-F238E27FC236}">
              <a16:creationId xmlns:a16="http://schemas.microsoft.com/office/drawing/2014/main" id="{E8C38A6B-0547-4301-94F9-A8C7434B68D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xdr:col>
      <xdr:colOff>504825</xdr:colOff>
      <xdr:row>29</xdr:row>
      <xdr:rowOff>171450</xdr:rowOff>
    </xdr:from>
    <xdr:to>
      <xdr:col>10</xdr:col>
      <xdr:colOff>33617</xdr:colOff>
      <xdr:row>38</xdr:row>
      <xdr:rowOff>180974</xdr:rowOff>
    </xdr:to>
    <xdr:graphicFrame macro="">
      <xdr:nvGraphicFramePr>
        <xdr:cNvPr id="23" name="Chart 22">
          <a:extLst>
            <a:ext uri="{FF2B5EF4-FFF2-40B4-BE49-F238E27FC236}">
              <a16:creationId xmlns:a16="http://schemas.microsoft.com/office/drawing/2014/main" id="{E19F80DB-C41E-47C6-B387-B254FDE28E0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10</xdr:col>
      <xdr:colOff>534519</xdr:colOff>
      <xdr:row>17</xdr:row>
      <xdr:rowOff>62752</xdr:rowOff>
    </xdr:from>
    <xdr:to>
      <xdr:col>17</xdr:col>
      <xdr:colOff>534521</xdr:colOff>
      <xdr:row>41</xdr:row>
      <xdr:rowOff>5601</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12776A3C-12F6-4727-9E46-E43EEF7DD243}"/>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01944" y="3834652"/>
              <a:ext cx="4267202" cy="45148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15</xdr:col>
      <xdr:colOff>390526</xdr:colOff>
      <xdr:row>21</xdr:row>
      <xdr:rowOff>76198</xdr:rowOff>
    </xdr:from>
    <xdr:to>
      <xdr:col>17</xdr:col>
      <xdr:colOff>447676</xdr:colOff>
      <xdr:row>30</xdr:row>
      <xdr:rowOff>171449</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AF1AEE8A-9019-4D21-AC7A-62FEA6946684}"/>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505951" y="4610098"/>
              <a:ext cx="1276350" cy="18097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18</xdr:col>
      <xdr:colOff>172747</xdr:colOff>
      <xdr:row>17</xdr:row>
      <xdr:rowOff>81802</xdr:rowOff>
    </xdr:from>
    <xdr:to>
      <xdr:col>25</xdr:col>
      <xdr:colOff>326651</xdr:colOff>
      <xdr:row>28</xdr:row>
      <xdr:rowOff>91328</xdr:rowOff>
    </xdr:to>
    <xdr:graphicFrame macro="">
      <xdr:nvGraphicFramePr>
        <xdr:cNvPr id="29" name="Chart 28">
          <a:extLst>
            <a:ext uri="{FF2B5EF4-FFF2-40B4-BE49-F238E27FC236}">
              <a16:creationId xmlns:a16="http://schemas.microsoft.com/office/drawing/2014/main" id="{8FF0169A-AC9B-4CFA-B6B7-956FC4672C5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18</xdr:col>
      <xdr:colOff>172747</xdr:colOff>
      <xdr:row>29</xdr:row>
      <xdr:rowOff>129426</xdr:rowOff>
    </xdr:from>
    <xdr:to>
      <xdr:col>25</xdr:col>
      <xdr:colOff>345701</xdr:colOff>
      <xdr:row>40</xdr:row>
      <xdr:rowOff>186577</xdr:rowOff>
    </xdr:to>
    <xdr:graphicFrame macro="">
      <xdr:nvGraphicFramePr>
        <xdr:cNvPr id="30" name="Chart 29">
          <a:extLst>
            <a:ext uri="{FF2B5EF4-FFF2-40B4-BE49-F238E27FC236}">
              <a16:creationId xmlns:a16="http://schemas.microsoft.com/office/drawing/2014/main" id="{A7633B4D-1417-462D-98FA-9D7D6A50DF6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0</xdr:col>
      <xdr:colOff>133350</xdr:colOff>
      <xdr:row>22</xdr:row>
      <xdr:rowOff>161925</xdr:rowOff>
    </xdr:from>
    <xdr:to>
      <xdr:col>2</xdr:col>
      <xdr:colOff>47625</xdr:colOff>
      <xdr:row>32</xdr:row>
      <xdr:rowOff>95250</xdr:rowOff>
    </xdr:to>
    <mc:AlternateContent xmlns:mc="http://schemas.openxmlformats.org/markup-compatibility/2006" xmlns:a14="http://schemas.microsoft.com/office/drawing/2010/main">
      <mc:Choice Requires="a14">
        <xdr:graphicFrame macro="">
          <xdr:nvGraphicFramePr>
            <xdr:cNvPr id="43" name="Order Mode">
              <a:extLst>
                <a:ext uri="{FF2B5EF4-FFF2-40B4-BE49-F238E27FC236}">
                  <a16:creationId xmlns:a16="http://schemas.microsoft.com/office/drawing/2014/main" id="{A8725347-0311-41BC-878D-CB8CFF553B19}"/>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33350" y="4890807"/>
              <a:ext cx="1494304"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123825</xdr:colOff>
      <xdr:row>33</xdr:row>
      <xdr:rowOff>47625</xdr:rowOff>
    </xdr:from>
    <xdr:to>
      <xdr:col>2</xdr:col>
      <xdr:colOff>47625</xdr:colOff>
      <xdr:row>41</xdr:row>
      <xdr:rowOff>76200</xdr:rowOff>
    </xdr:to>
    <mc:AlternateContent xmlns:mc="http://schemas.openxmlformats.org/markup-compatibility/2006" xmlns:a14="http://schemas.microsoft.com/office/drawing/2010/main">
      <mc:Choice Requires="a14">
        <xdr:graphicFrame macro="">
          <xdr:nvGraphicFramePr>
            <xdr:cNvPr id="44" name="Gender Value">
              <a:extLst>
                <a:ext uri="{FF2B5EF4-FFF2-40B4-BE49-F238E27FC236}">
                  <a16:creationId xmlns:a16="http://schemas.microsoft.com/office/drawing/2014/main" id="{623156BF-189C-4946-B870-56329E2492EC}"/>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23825" y="6872007"/>
              <a:ext cx="1503829"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59951</xdr:colOff>
      <xdr:row>3</xdr:row>
      <xdr:rowOff>172571</xdr:rowOff>
    </xdr:from>
    <xdr:to>
      <xdr:col>15</xdr:col>
      <xdr:colOff>549088</xdr:colOff>
      <xdr:row>5</xdr:row>
      <xdr:rowOff>64589</xdr:rowOff>
    </xdr:to>
    <xdr:sp macro="" textlink="">
      <xdr:nvSpPr>
        <xdr:cNvPr id="45" name="TextBox 44">
          <a:extLst>
            <a:ext uri="{FF2B5EF4-FFF2-40B4-BE49-F238E27FC236}">
              <a16:creationId xmlns:a16="http://schemas.microsoft.com/office/drawing/2014/main" id="{8DC03128-0FB0-AF9F-0523-A650F8C5CCCA}"/>
            </a:ext>
          </a:extLst>
        </xdr:cNvPr>
        <xdr:cNvSpPr txBox="1">
          <a:spLocks noChangeAspect="1"/>
        </xdr:cNvSpPr>
      </xdr:nvSpPr>
      <xdr:spPr>
        <a:xfrm>
          <a:off x="7915275" y="1281953"/>
          <a:ext cx="1699372" cy="273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How they like to buy? </a:t>
          </a:r>
        </a:p>
      </xdr:txBody>
    </xdr:sp>
    <xdr:clientData/>
  </xdr:twoCellAnchor>
  <xdr:twoCellAnchor editAs="absolute">
    <xdr:from>
      <xdr:col>0</xdr:col>
      <xdr:colOff>28575</xdr:colOff>
      <xdr:row>2</xdr:row>
      <xdr:rowOff>114300</xdr:rowOff>
    </xdr:from>
    <xdr:to>
      <xdr:col>2</xdr:col>
      <xdr:colOff>171450</xdr:colOff>
      <xdr:row>5</xdr:row>
      <xdr:rowOff>122</xdr:rowOff>
    </xdr:to>
    <xdr:pic>
      <xdr:nvPicPr>
        <xdr:cNvPr id="53" name="Picture 52">
          <a:extLst>
            <a:ext uri="{FF2B5EF4-FFF2-40B4-BE49-F238E27FC236}">
              <a16:creationId xmlns:a16="http://schemas.microsoft.com/office/drawing/2014/main" id="{A3DA4140-DDF3-4495-99DE-42F777910C0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28575" y="1033182"/>
          <a:ext cx="1722904" cy="457322"/>
        </a:xfrm>
        <a:prstGeom prst="rect">
          <a:avLst/>
        </a:prstGeom>
      </xdr:spPr>
    </xdr:pic>
    <xdr:clientData/>
  </xdr:twoCellAnchor>
  <xdr:twoCellAnchor editAs="absolute">
    <xdr:from>
      <xdr:col>1</xdr:col>
      <xdr:colOff>806824</xdr:colOff>
      <xdr:row>0</xdr:row>
      <xdr:rowOff>114300</xdr:rowOff>
    </xdr:from>
    <xdr:to>
      <xdr:col>23</xdr:col>
      <xdr:colOff>560294</xdr:colOff>
      <xdr:row>1</xdr:row>
      <xdr:rowOff>114300</xdr:rowOff>
    </xdr:to>
    <xdr:sp macro="" textlink="">
      <xdr:nvSpPr>
        <xdr:cNvPr id="75" name="TextBox 74">
          <a:extLst>
            <a:ext uri="{FF2B5EF4-FFF2-40B4-BE49-F238E27FC236}">
              <a16:creationId xmlns:a16="http://schemas.microsoft.com/office/drawing/2014/main" id="{9E620C30-1F61-DF88-35E6-1B51C2AC3C7C}"/>
            </a:ext>
          </a:extLst>
        </xdr:cNvPr>
        <xdr:cNvSpPr txBox="1">
          <a:spLocks noChangeAspect="1"/>
        </xdr:cNvSpPr>
      </xdr:nvSpPr>
      <xdr:spPr>
        <a:xfrm>
          <a:off x="1053353" y="114300"/>
          <a:ext cx="13413441" cy="728382"/>
        </a:xfrm>
        <a:prstGeom prst="rect">
          <a:avLst/>
        </a:prstGeom>
        <a:noFill/>
        <a:ln w="9525" cmpd="sng">
          <a:noFill/>
        </a:ln>
        <a:effectLst>
          <a:outerShdw blurRad="50800" dist="38100" algn="l" rotWithShape="0">
            <a:srgbClr val="FFC000">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u="none">
              <a:solidFill>
                <a:schemeClr val="bg1"/>
              </a:solidFill>
            </a:rPr>
            <a:t> E-Commerce</a:t>
          </a:r>
          <a:r>
            <a:rPr lang="en-IN" sz="4000" b="1" u="none" baseline="0">
              <a:solidFill>
                <a:schemeClr val="bg1"/>
              </a:solidFill>
            </a:rPr>
            <a:t>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35.851132175929" createdVersion="8" refreshedVersion="8" minRefreshableVersion="3" recordCount="2400" xr:uid="{DB0EAF0C-5FE8-4607-96B5-E65557593C37}">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5"/>
        </groupItems>
      </fieldGroup>
    </cacheField>
    <cacheField name="Months (Order Date)" numFmtId="0" databaseField="0">
      <fieldGroup base="5">
        <rangePr groupBy="months" startDate="2025-01-01T00:00:00" endDate="2025-03-30T00:00:00"/>
        <groupItems count="14">
          <s v="&lt;01-01-25"/>
          <s v="Jan"/>
          <s v="Feb"/>
          <s v="Mar"/>
          <s v="Apr"/>
          <s v="May"/>
          <s v="Jun"/>
          <s v="Jul"/>
          <s v="Aug"/>
          <s v="Sep"/>
          <s v="Oct"/>
          <s v="Nov"/>
          <s v="Dec"/>
          <s v="&gt;30-03-25"/>
        </groupItems>
      </fieldGroup>
    </cacheField>
  </cacheFields>
  <extLst>
    <ext xmlns:x14="http://schemas.microsoft.com/office/spreadsheetml/2009/9/main" uri="{725AE2AE-9491-48be-B2B4-4EB974FC3084}">
      <x14:pivotCacheDefinition pivotCacheId="2126512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FBFD98-F74D-4FE7-8F3E-28A32B2B45D5}" name="pvt_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Sales" fld="0" subtotal="count" baseField="0" baseItem="1" numFmtId="3"/>
    <dataField name="Total Quantity Sold" fld="2" baseField="0" baseItem="1" numFmtId="3"/>
    <dataField name="Total Amount " fld="4" baseField="0" baseItem="1" numFmtId="164"/>
    <dataField name="Average Rating" fld="9" subtotal="average" baseField="0" baseItem="1" numFmtId="165"/>
    <dataField name="Average Delivery Days" fld="12" subtotal="average" baseField="0"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6CBBE4-8332-44AC-A65B-D5CA8A31A75F}" name="pvt_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13" baseItem="3" numFmtId="164"/>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7CF7D3-683D-4BF2-8596-BAF2ABA5A8AE}" name="pvt_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F0C8BF-5B33-4084-A18C-CAE287FA97B8}" name="pvt_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sd="0" x="0"/>
        <item sd="0" x="1"/>
        <item sd="0" x="2"/>
        <item sd="0" x="4"/>
        <item sd="0" x="3"/>
        <item n="6 to 10" sd="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58B61C-6232-4947-AAE0-91A626B3CBC2}" name="pvt_qtyby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H3:I8" firstHeaderRow="1" firstDataRow="1" firstDataCol="1"/>
  <pivotFields count="18">
    <pivotField showAll="0"/>
    <pivotField showAll="0" sortType="a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8">
    <chartFormat chart="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2" format="13" series="1">
      <pivotArea type="data" outline="0" fieldPosition="0">
        <references count="2">
          <reference field="4294967294" count="1" selected="0">
            <x v="0"/>
          </reference>
          <reference field="14" count="1" selected="0">
            <x v="1"/>
          </reference>
        </references>
      </pivotArea>
    </chartFormat>
    <chartFormat chart="2" format="14" series="1">
      <pivotArea type="data" outline="0" fieldPosition="0">
        <references count="2">
          <reference field="4294967294" count="1" selected="0">
            <x v="0"/>
          </reference>
          <reference field="14" count="1" selected="0">
            <x v="2"/>
          </reference>
        </references>
      </pivotArea>
    </chartFormat>
    <chartFormat chart="2" format="15" series="1">
      <pivotArea type="data" outline="0" fieldPosition="0">
        <references count="2">
          <reference field="4294967294" count="1" selected="0">
            <x v="0"/>
          </reference>
          <reference field="14" count="1" selected="0">
            <x v="3"/>
          </reference>
        </references>
      </pivotArea>
    </chartFormat>
    <chartFormat chart="0" format="5" series="1">
      <pivotArea type="data" outline="0" fieldPosition="0">
        <references count="2">
          <reference field="4294967294" count="1" selected="0">
            <x v="0"/>
          </reference>
          <reference field="14" count="1" selected="0">
            <x v="1"/>
          </reference>
        </references>
      </pivotArea>
    </chartFormat>
    <chartFormat chart="0" format="6" series="1">
      <pivotArea type="data" outline="0" fieldPosition="0">
        <references count="2">
          <reference field="4294967294" count="1" selected="0">
            <x v="0"/>
          </reference>
          <reference field="14" count="1" selected="0">
            <x v="2"/>
          </reference>
        </references>
      </pivotArea>
    </chartFormat>
    <chartFormat chart="0" format="7" series="1">
      <pivotArea type="data" outline="0" fieldPosition="0">
        <references count="2">
          <reference field="4294967294" count="1" selected="0">
            <x v="0"/>
          </reference>
          <reference field="14" count="1" selected="0">
            <x v="3"/>
          </reference>
        </references>
      </pivotArea>
    </chartFormat>
    <chartFormat chart="0" format="8" series="1">
      <pivotArea type="data" outline="0" fieldPosition="0">
        <references count="2">
          <reference field="4294967294" count="1" selected="0">
            <x v="0"/>
          </reference>
          <reference field="14" count="1" selected="0">
            <x v="0"/>
          </reference>
        </references>
      </pivotArea>
    </chartFormat>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4" format="2" series="1">
      <pivotArea type="data" outline="0" fieldPosition="0">
        <references count="2">
          <reference field="4294967294" count="1" selected="0">
            <x v="0"/>
          </reference>
          <reference field="14" count="1" selected="0">
            <x v="2"/>
          </reference>
        </references>
      </pivotArea>
    </chartFormat>
    <chartFormat chart="4" format="3" series="1">
      <pivotArea type="data" outline="0" fieldPosition="0">
        <references count="2">
          <reference field="4294967294" count="1" selected="0">
            <x v="0"/>
          </reference>
          <reference field="14" count="1" selected="0">
            <x v="3"/>
          </reference>
        </references>
      </pivotArea>
    </chartFormat>
    <chartFormat chart="33" format="46" series="1">
      <pivotArea type="data" outline="0" fieldPosition="0">
        <references count="1">
          <reference field="4294967294" count="1" selected="0">
            <x v="0"/>
          </reference>
        </references>
      </pivotArea>
    </chartFormat>
    <chartFormat chart="33" format="47">
      <pivotArea type="data" outline="0" fieldPosition="0">
        <references count="2">
          <reference field="4294967294" count="1" selected="0">
            <x v="0"/>
          </reference>
          <reference field="14" count="1" selected="0">
            <x v="0"/>
          </reference>
        </references>
      </pivotArea>
    </chartFormat>
    <chartFormat chart="33" format="48">
      <pivotArea type="data" outline="0" fieldPosition="0">
        <references count="2">
          <reference field="4294967294" count="1" selected="0">
            <x v="0"/>
          </reference>
          <reference field="14" count="1" selected="0">
            <x v="1"/>
          </reference>
        </references>
      </pivotArea>
    </chartFormat>
    <chartFormat chart="33" format="49">
      <pivotArea type="data" outline="0" fieldPosition="0">
        <references count="2">
          <reference field="4294967294" count="1" selected="0">
            <x v="0"/>
          </reference>
          <reference field="14" count="1" selected="0">
            <x v="2"/>
          </reference>
        </references>
      </pivotArea>
    </chartFormat>
    <chartFormat chart="33" format="5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4609F8-13EA-4345-B0B3-D0634CA408B2}" name="pvt_productby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F25" firstHeaderRow="1" firstDataRow="2" firstDataCol="1"/>
  <pivotFields count="18">
    <pivotField showAll="0"/>
    <pivotField axis="axisRow" showAll="0" sortType="a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7"/>
    </i>
    <i>
      <x/>
    </i>
    <i>
      <x v="17"/>
    </i>
    <i>
      <x v="15"/>
    </i>
    <i>
      <x v="10"/>
    </i>
    <i>
      <x v="19"/>
    </i>
    <i>
      <x v="3"/>
    </i>
    <i>
      <x v="9"/>
    </i>
    <i>
      <x v="8"/>
    </i>
    <i>
      <x v="2"/>
    </i>
    <i>
      <x v="5"/>
    </i>
    <i>
      <x v="11"/>
    </i>
    <i>
      <x v="12"/>
    </i>
    <i>
      <x v="4"/>
    </i>
    <i>
      <x v="14"/>
    </i>
    <i>
      <x v="1"/>
    </i>
    <i>
      <x v="16"/>
    </i>
    <i>
      <x v="13"/>
    </i>
    <i>
      <x v="6"/>
    </i>
    <i>
      <x v="18"/>
    </i>
    <i t="grand">
      <x/>
    </i>
  </rowItems>
  <colFields count="1">
    <field x="14"/>
  </colFields>
  <colItems count="5">
    <i>
      <x/>
    </i>
    <i>
      <x v="1"/>
    </i>
    <i>
      <x v="2"/>
    </i>
    <i>
      <x v="3"/>
    </i>
    <i t="grand">
      <x/>
    </i>
  </colItems>
  <dataFields count="1">
    <dataField name="Sum of Quantity" fld="2" baseField="0" baseItem="0"/>
  </dataFields>
  <chartFormats count="5">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2">
          <reference field="4294967294" count="1" selected="0">
            <x v="0"/>
          </reference>
          <reference field="14" count="1" selected="0">
            <x v="1"/>
          </reference>
        </references>
      </pivotArea>
    </chartFormat>
    <chartFormat chart="2" format="14" series="1">
      <pivotArea type="data" outline="0" fieldPosition="0">
        <references count="2">
          <reference field="4294967294" count="1" selected="0">
            <x v="0"/>
          </reference>
          <reference field="14" count="1" selected="0">
            <x v="2"/>
          </reference>
        </references>
      </pivotArea>
    </chartFormat>
    <chartFormat chart="2" format="15" series="1">
      <pivotArea type="data" outline="0" fieldPosition="0">
        <references count="2">
          <reference field="4294967294" count="1" selected="0">
            <x v="0"/>
          </reference>
          <reference field="14" count="1" selected="0">
            <x v="3"/>
          </reference>
        </references>
      </pivotArea>
    </chartFormat>
    <chartFormat chart="2" format="16"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190FFB-3F89-42D3-B8D3-8AD4FEB9FECD}" name="pvt_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FB935C-6B97-4A02-9FAF-F066C8F85463}" name="pvt_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5:G30"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9">
    <chartFormat chart="8" format="6" series="1">
      <pivotArea type="data" outline="0" fieldPosition="0">
        <references count="2">
          <reference field="4294967294" count="1" selected="0">
            <x v="0"/>
          </reference>
          <reference field="17" count="1" selected="0">
            <x v="1"/>
          </reference>
        </references>
      </pivotArea>
    </chartFormat>
    <chartFormat chart="8" format="7" series="1">
      <pivotArea type="data" outline="0" fieldPosition="0">
        <references count="2">
          <reference field="4294967294" count="1" selected="0">
            <x v="0"/>
          </reference>
          <reference field="17" count="1" selected="0">
            <x v="2"/>
          </reference>
        </references>
      </pivotArea>
    </chartFormat>
    <chartFormat chart="8" format="8" series="1">
      <pivotArea type="data" outline="0" fieldPosition="0">
        <references count="2">
          <reference field="4294967294" count="1" selected="0">
            <x v="0"/>
          </reference>
          <reference field="17" count="1" selected="0">
            <x v="3"/>
          </reference>
        </references>
      </pivotArea>
    </chartFormat>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2">
          <reference field="4294967294" count="1" selected="0">
            <x v="0"/>
          </reference>
          <reference field="9" count="1" selected="0">
            <x v="1"/>
          </reference>
        </references>
      </pivotArea>
    </chartFormat>
    <chartFormat chart="8" format="11" series="1">
      <pivotArea type="data" outline="0" fieldPosition="0">
        <references count="2">
          <reference field="4294967294" count="1" selected="0">
            <x v="0"/>
          </reference>
          <reference field="9" count="1" selected="0">
            <x v="2"/>
          </reference>
        </references>
      </pivotArea>
    </chartFormat>
    <chartFormat chart="8" format="12" series="1">
      <pivotArea type="data" outline="0" fieldPosition="0">
        <references count="2">
          <reference field="4294967294" count="1" selected="0">
            <x v="0"/>
          </reference>
          <reference field="9" count="1" selected="0">
            <x v="3"/>
          </reference>
        </references>
      </pivotArea>
    </chartFormat>
    <chartFormat chart="8" format="13" series="1">
      <pivotArea type="data" outline="0" fieldPosition="0">
        <references count="2">
          <reference field="4294967294" count="1" selected="0">
            <x v="0"/>
          </reference>
          <reference field="9" count="1" selected="0">
            <x v="4"/>
          </reference>
        </references>
      </pivotArea>
    </chartFormat>
    <chartFormat chart="8" format="14"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F949BF-48E6-42CA-A51B-14341E9E895C}" name="pvt_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EFDFB98-AEBD-4627-981F-7650D4D461BF}" sourceName="Order Mode">
  <pivotTables>
    <pivotTable tabId="12" name="pvt_satisfaction"/>
    <pivotTable tabId="5" name="pvt_qty"/>
    <pivotTable tabId="5" name="pvt_summary"/>
    <pivotTable tabId="8" name="pvt_rating"/>
    <pivotTable tabId="12" name="pvt_duration"/>
    <pivotTable tabId="9" name="pvt_productbyqty"/>
    <pivotTable tabId="9" name="pvt_qtybygender"/>
    <pivotTable tabId="11" name="pvt_map"/>
  </pivotTables>
  <data>
    <tabular pivotCacheId="2126512354">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9328173-C9E3-46FE-BA6F-81DB009108B7}" sourceName="Gender Value">
  <pivotTables>
    <pivotTable tabId="12" name="pvt_satisfaction"/>
    <pivotTable tabId="5" name="pvt_qty"/>
    <pivotTable tabId="8" name="pvt_rating"/>
    <pivotTable tabId="11" name="pvt_map"/>
    <pivotTable tabId="12" name="pvt_duration"/>
    <pivotTable tabId="5" name="pvt_summary"/>
  </pivotTables>
  <data>
    <tabular pivotCacheId="212651235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A1F380F0-E1BB-4401-A0AF-15218241F18F}" cache="Slicer_Order_Mode" caption="Order Mode" style="Slicer Style 1" lockedPosition="1" rowHeight="257175"/>
  <slicer name="Gender Value" xr10:uid="{9292148C-CFD6-4FD6-9A53-E14033B6BC04}" cache="Slicer_Gender_Value" caption="Gender" style="Slicer Style 1" lockedPosition="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9C6C-A8C5-484A-B1AB-A210A039EE4C}">
  <dimension ref="A2:M22"/>
  <sheetViews>
    <sheetView workbookViewId="0">
      <selection activeCell="AE6" sqref="AE6"/>
    </sheetView>
  </sheetViews>
  <sheetFormatPr defaultRowHeight="15" x14ac:dyDescent="0.25"/>
  <cols>
    <col min="1" max="1" width="10.7109375" bestFit="1" customWidth="1"/>
    <col min="2" max="2" width="18.28515625" bestFit="1" customWidth="1"/>
    <col min="3" max="3" width="13.42578125" bestFit="1" customWidth="1"/>
    <col min="4" max="4" width="14.42578125" bestFit="1" customWidth="1"/>
    <col min="5" max="5" width="21.42578125" bestFit="1" customWidth="1"/>
    <col min="8" max="8" width="21.7109375" bestFit="1" customWidth="1"/>
    <col min="9" max="13" width="10" customWidth="1"/>
  </cols>
  <sheetData>
    <row r="2" spans="1:13" ht="18.75" x14ac:dyDescent="0.3">
      <c r="H2" s="8" t="s">
        <v>2530</v>
      </c>
    </row>
    <row r="3" spans="1:13" x14ac:dyDescent="0.25">
      <c r="A3" t="s">
        <v>2521</v>
      </c>
      <c r="B3" t="s">
        <v>2522</v>
      </c>
      <c r="C3" t="s">
        <v>2523</v>
      </c>
      <c r="D3" t="s">
        <v>2524</v>
      </c>
      <c r="E3" t="s">
        <v>2525</v>
      </c>
      <c r="I3" s="9" t="s">
        <v>2518</v>
      </c>
      <c r="J3" s="9" t="s">
        <v>2526</v>
      </c>
      <c r="K3" s="9" t="s">
        <v>2527</v>
      </c>
      <c r="L3" s="9" t="s">
        <v>2528</v>
      </c>
      <c r="M3" s="9" t="s">
        <v>2529</v>
      </c>
    </row>
    <row r="4" spans="1:13" x14ac:dyDescent="0.25">
      <c r="A4" s="5">
        <v>2400</v>
      </c>
      <c r="B4" s="5">
        <v>11997</v>
      </c>
      <c r="C4" s="6">
        <v>649019.80000000144</v>
      </c>
      <c r="D4" s="7">
        <v>3.9620833333333332</v>
      </c>
      <c r="E4" s="5">
        <v>2.3424999999999998</v>
      </c>
      <c r="I4" s="10" t="str">
        <f>TEXT(A4,"#,##")</f>
        <v>2,400</v>
      </c>
      <c r="J4" s="10" t="str">
        <f t="shared" ref="J4" si="0">TEXT(B4,"#,##")</f>
        <v>11,997</v>
      </c>
      <c r="K4" s="10" t="str">
        <f>TEXT(C4,"₹#,##,.0k")</f>
        <v>₹649.0k</v>
      </c>
      <c r="L4" s="10" t="str">
        <f>TEXT(D4,"0.0")</f>
        <v>4.0</v>
      </c>
      <c r="M4" s="10" t="str">
        <f>TEXT(E4,"0.0")</f>
        <v>2.3</v>
      </c>
    </row>
    <row r="8" spans="1:13" x14ac:dyDescent="0.25">
      <c r="A8" s="11" t="s">
        <v>2531</v>
      </c>
      <c r="B8" t="s">
        <v>2519</v>
      </c>
      <c r="C8" t="s">
        <v>2520</v>
      </c>
    </row>
    <row r="9" spans="1:13" x14ac:dyDescent="0.25">
      <c r="A9" s="12">
        <v>1</v>
      </c>
      <c r="B9">
        <v>546</v>
      </c>
      <c r="C9" s="6">
        <v>32413.300000000003</v>
      </c>
    </row>
    <row r="10" spans="1:13" x14ac:dyDescent="0.25">
      <c r="A10" s="12">
        <v>2</v>
      </c>
      <c r="B10">
        <v>905</v>
      </c>
      <c r="C10" s="6">
        <v>49562.999999999993</v>
      </c>
    </row>
    <row r="11" spans="1:13" x14ac:dyDescent="0.25">
      <c r="A11" s="12">
        <v>3</v>
      </c>
      <c r="B11">
        <v>796</v>
      </c>
      <c r="C11" s="6">
        <v>41700.400000000016</v>
      </c>
    </row>
    <row r="12" spans="1:13" x14ac:dyDescent="0.25">
      <c r="A12" s="12">
        <v>4</v>
      </c>
      <c r="B12">
        <v>913</v>
      </c>
      <c r="C12" s="6">
        <v>46782.599999999984</v>
      </c>
    </row>
    <row r="13" spans="1:13" x14ac:dyDescent="0.25">
      <c r="A13" s="12">
        <v>5</v>
      </c>
      <c r="B13">
        <v>844</v>
      </c>
      <c r="C13" s="6">
        <v>42676.100000000006</v>
      </c>
    </row>
    <row r="14" spans="1:13" x14ac:dyDescent="0.25">
      <c r="A14" s="12">
        <v>6</v>
      </c>
      <c r="B14">
        <v>1202</v>
      </c>
      <c r="C14" s="6">
        <v>62910.7</v>
      </c>
    </row>
    <row r="15" spans="1:13" x14ac:dyDescent="0.25">
      <c r="A15" s="12">
        <v>7</v>
      </c>
      <c r="B15">
        <v>935</v>
      </c>
      <c r="C15" s="6">
        <v>50332.200000000004</v>
      </c>
    </row>
    <row r="16" spans="1:13" x14ac:dyDescent="0.25">
      <c r="A16" s="12">
        <v>8</v>
      </c>
      <c r="B16">
        <v>1128</v>
      </c>
      <c r="C16" s="6">
        <v>58760.599999999977</v>
      </c>
    </row>
    <row r="17" spans="1:3" x14ac:dyDescent="0.25">
      <c r="A17" s="12">
        <v>9</v>
      </c>
      <c r="B17">
        <v>1007</v>
      </c>
      <c r="C17" s="6">
        <v>52017.299999999996</v>
      </c>
    </row>
    <row r="18" spans="1:3" x14ac:dyDescent="0.25">
      <c r="A18" s="12">
        <v>10</v>
      </c>
      <c r="B18">
        <v>1128</v>
      </c>
      <c r="C18" s="6">
        <v>64915.700000000033</v>
      </c>
    </row>
    <row r="19" spans="1:3" x14ac:dyDescent="0.25">
      <c r="A19" s="12">
        <v>11</v>
      </c>
      <c r="B19">
        <v>861</v>
      </c>
      <c r="C19" s="6">
        <v>45943.80000000001</v>
      </c>
    </row>
    <row r="20" spans="1:3" x14ac:dyDescent="0.25">
      <c r="A20" s="12">
        <v>12</v>
      </c>
      <c r="B20">
        <v>944</v>
      </c>
      <c r="C20" s="6">
        <v>55077.900000000031</v>
      </c>
    </row>
    <row r="21" spans="1:3" x14ac:dyDescent="0.25">
      <c r="A21" s="12">
        <v>13</v>
      </c>
      <c r="B21">
        <v>788</v>
      </c>
      <c r="C21" s="6">
        <v>45926.19999999999</v>
      </c>
    </row>
    <row r="22" spans="1:3" x14ac:dyDescent="0.25">
      <c r="A22" s="12" t="s">
        <v>2532</v>
      </c>
      <c r="B22">
        <v>11997</v>
      </c>
      <c r="C22" s="6">
        <v>649019.79999999993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3162-7637-4D59-95CB-1816EEB5B1E0}">
  <dimension ref="A2:L10"/>
  <sheetViews>
    <sheetView showGridLines="0" workbookViewId="0">
      <selection activeCell="AE6" sqref="AE6"/>
    </sheetView>
  </sheetViews>
  <sheetFormatPr defaultRowHeight="15" x14ac:dyDescent="0.25"/>
  <cols>
    <col min="1" max="1" width="14.85546875" bestFit="1" customWidth="1"/>
    <col min="2" max="2" width="16.85546875" bestFit="1" customWidth="1"/>
    <col min="3" max="3" width="7.140625" bestFit="1" customWidth="1"/>
    <col min="4" max="4" width="6.140625" bestFit="1" customWidth="1"/>
    <col min="5" max="5" width="9.28515625" bestFit="1" customWidth="1"/>
    <col min="6" max="6" width="11.28515625" bestFit="1" customWidth="1"/>
    <col min="8" max="8" width="11.28515625" bestFit="1" customWidth="1"/>
    <col min="9" max="9" width="7.42578125" bestFit="1" customWidth="1"/>
    <col min="10" max="10" width="6.140625" bestFit="1" customWidth="1"/>
    <col min="11" max="11" width="5.85546875" bestFit="1" customWidth="1"/>
    <col min="12" max="12" width="9.28515625" bestFit="1" customWidth="1"/>
  </cols>
  <sheetData>
    <row r="2" spans="1:12" ht="18.75" x14ac:dyDescent="0.3">
      <c r="H2" s="8" t="s">
        <v>2538</v>
      </c>
    </row>
    <row r="3" spans="1:12" x14ac:dyDescent="0.25">
      <c r="A3" s="11" t="s">
        <v>2520</v>
      </c>
      <c r="B3" s="11" t="s">
        <v>2537</v>
      </c>
    </row>
    <row r="4" spans="1:12" x14ac:dyDescent="0.25">
      <c r="A4" s="11" t="s">
        <v>2531</v>
      </c>
      <c r="B4" t="s">
        <v>2533</v>
      </c>
      <c r="C4" t="s">
        <v>2534</v>
      </c>
      <c r="D4" t="s">
        <v>2535</v>
      </c>
      <c r="E4" t="s">
        <v>2536</v>
      </c>
      <c r="F4" t="s">
        <v>2532</v>
      </c>
      <c r="H4" s="14"/>
      <c r="I4" s="14" t="str">
        <f>B4</f>
        <v>Female</v>
      </c>
      <c r="J4" s="14" t="str">
        <f t="shared" ref="J4:L4" si="0">C4</f>
        <v>Male</v>
      </c>
      <c r="K4" s="14" t="str">
        <f t="shared" si="0"/>
        <v>Other</v>
      </c>
      <c r="L4" s="14" t="str">
        <f t="shared" si="0"/>
        <v>Unknown</v>
      </c>
    </row>
    <row r="5" spans="1:12" ht="15.75" thickBot="1" x14ac:dyDescent="0.3">
      <c r="A5" s="12" t="s">
        <v>18</v>
      </c>
      <c r="B5" s="13">
        <v>0.18961825201634841</v>
      </c>
      <c r="C5" s="13">
        <v>0.12262322351336576</v>
      </c>
      <c r="D5" s="13">
        <v>1.060537752469185E-2</v>
      </c>
      <c r="E5" s="13">
        <v>3.0599220547662797E-2</v>
      </c>
      <c r="F5" s="13">
        <v>0.35344607360206881</v>
      </c>
      <c r="H5" s="14" t="str">
        <f>A5</f>
        <v>App</v>
      </c>
      <c r="I5" s="15">
        <f t="shared" ref="I5:L9" si="1">B5</f>
        <v>0.18961825201634841</v>
      </c>
      <c r="J5" s="16">
        <f t="shared" si="1"/>
        <v>0.12262322351336576</v>
      </c>
      <c r="K5" s="16">
        <f t="shared" si="1"/>
        <v>1.060537752469185E-2</v>
      </c>
      <c r="L5" s="17">
        <f t="shared" si="1"/>
        <v>3.0599220547662797E-2</v>
      </c>
    </row>
    <row r="6" spans="1:12" ht="16.5" thickTop="1" thickBot="1" x14ac:dyDescent="0.3">
      <c r="A6" s="12" t="s">
        <v>51</v>
      </c>
      <c r="B6" s="13">
        <v>5.0283982091147303E-2</v>
      </c>
      <c r="C6" s="13">
        <v>4.3060781812819873E-2</v>
      </c>
      <c r="D6" s="13">
        <v>1.5320025675641944E-3</v>
      </c>
      <c r="E6" s="13">
        <v>1.7794988689097006E-2</v>
      </c>
      <c r="F6" s="13">
        <v>0.11267175516062837</v>
      </c>
      <c r="H6" s="14" t="str">
        <f t="shared" ref="H6:H9" si="2">A6</f>
        <v>Instagram</v>
      </c>
      <c r="I6" s="18">
        <f t="shared" si="1"/>
        <v>5.0283982091147303E-2</v>
      </c>
      <c r="J6" s="19">
        <f t="shared" si="1"/>
        <v>4.3060781812819873E-2</v>
      </c>
      <c r="K6" s="19">
        <f t="shared" si="1"/>
        <v>1.5320025675641944E-3</v>
      </c>
      <c r="L6" s="20">
        <f t="shared" si="1"/>
        <v>1.7794988689097006E-2</v>
      </c>
    </row>
    <row r="7" spans="1:12" ht="16.5" thickTop="1" thickBot="1" x14ac:dyDescent="0.3">
      <c r="A7" s="12" t="s">
        <v>70</v>
      </c>
      <c r="B7" s="13">
        <v>6.3496059750411282E-2</v>
      </c>
      <c r="C7" s="13">
        <v>4.6071629863988765E-2</v>
      </c>
      <c r="D7" s="13">
        <v>2.306247051322625E-3</v>
      </c>
      <c r="E7" s="13">
        <v>3.8927934093844286E-3</v>
      </c>
      <c r="F7" s="13">
        <v>0.11576673007510711</v>
      </c>
      <c r="H7" s="14" t="str">
        <f t="shared" si="2"/>
        <v>Partner App</v>
      </c>
      <c r="I7" s="18">
        <f t="shared" si="1"/>
        <v>6.3496059750411282E-2</v>
      </c>
      <c r="J7" s="19">
        <f t="shared" si="1"/>
        <v>4.6071629863988765E-2</v>
      </c>
      <c r="K7" s="19">
        <f t="shared" si="1"/>
        <v>2.306247051322625E-3</v>
      </c>
      <c r="L7" s="20">
        <f t="shared" si="1"/>
        <v>3.8927934093844286E-3</v>
      </c>
    </row>
    <row r="8" spans="1:12" ht="16.5" thickTop="1" thickBot="1" x14ac:dyDescent="0.3">
      <c r="A8" s="12" t="s">
        <v>40</v>
      </c>
      <c r="B8" s="13">
        <v>9.6337892927149532E-2</v>
      </c>
      <c r="C8" s="13">
        <v>6.7920115842382611E-2</v>
      </c>
      <c r="D8" s="13">
        <v>5.4979832664581261E-3</v>
      </c>
      <c r="E8" s="13">
        <v>1.2933041488102518E-2</v>
      </c>
      <c r="F8" s="13">
        <v>0.1826890335240928</v>
      </c>
      <c r="H8" s="14" t="str">
        <f t="shared" si="2"/>
        <v>Target.com</v>
      </c>
      <c r="I8" s="18">
        <f t="shared" si="1"/>
        <v>9.6337892927149532E-2</v>
      </c>
      <c r="J8" s="19">
        <f t="shared" si="1"/>
        <v>6.7920115842382611E-2</v>
      </c>
      <c r="K8" s="19">
        <f t="shared" si="1"/>
        <v>5.4979832664581261E-3</v>
      </c>
      <c r="L8" s="20">
        <f t="shared" si="1"/>
        <v>1.2933041488102518E-2</v>
      </c>
    </row>
    <row r="9" spans="1:12" ht="15.75" thickTop="1" x14ac:dyDescent="0.25">
      <c r="A9" s="12" t="s">
        <v>35</v>
      </c>
      <c r="B9" s="13">
        <v>0.12522098709469262</v>
      </c>
      <c r="C9" s="13">
        <v>9.1492740283116228E-2</v>
      </c>
      <c r="D9" s="13">
        <v>6.3042760790965081E-3</v>
      </c>
      <c r="E9" s="13">
        <v>1.2408404181197551E-2</v>
      </c>
      <c r="F9" s="13">
        <v>0.23542640763810288</v>
      </c>
      <c r="H9" s="14" t="str">
        <f t="shared" si="2"/>
        <v>Website</v>
      </c>
      <c r="I9" s="21">
        <f t="shared" si="1"/>
        <v>0.12522098709469262</v>
      </c>
      <c r="J9" s="22">
        <f t="shared" si="1"/>
        <v>9.1492740283116228E-2</v>
      </c>
      <c r="K9" s="22">
        <f t="shared" si="1"/>
        <v>6.3042760790965081E-3</v>
      </c>
      <c r="L9" s="23">
        <f t="shared" si="1"/>
        <v>1.2408404181197551E-2</v>
      </c>
    </row>
    <row r="10" spans="1:12" x14ac:dyDescent="0.25">
      <c r="A10" s="12" t="s">
        <v>2532</v>
      </c>
      <c r="B10" s="13">
        <v>0.52495717387974916</v>
      </c>
      <c r="C10" s="13">
        <v>0.3711684913156732</v>
      </c>
      <c r="D10" s="13">
        <v>2.6245886489133303E-2</v>
      </c>
      <c r="E10" s="13">
        <v>7.7628448315444312E-2</v>
      </c>
      <c r="F10" s="13">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00AC6-CA1A-453E-9FA5-2FDC6A2DB3BE}">
  <dimension ref="A2:E11"/>
  <sheetViews>
    <sheetView workbookViewId="0">
      <selection activeCell="AE6" sqref="AE6"/>
    </sheetView>
  </sheetViews>
  <sheetFormatPr defaultRowHeight="15" x14ac:dyDescent="0.25"/>
  <cols>
    <col min="1" max="1" width="13.42578125" bestFit="1" customWidth="1"/>
    <col min="2" max="2" width="14" bestFit="1" customWidth="1"/>
  </cols>
  <sheetData>
    <row r="2" spans="1:5" x14ac:dyDescent="0.25">
      <c r="E2" t="s">
        <v>2539</v>
      </c>
    </row>
    <row r="3" spans="1:5" x14ac:dyDescent="0.25">
      <c r="A3" s="11" t="s">
        <v>2531</v>
      </c>
      <c r="B3" t="s">
        <v>2540</v>
      </c>
    </row>
    <row r="4" spans="1:5" x14ac:dyDescent="0.25">
      <c r="A4" s="12">
        <v>1</v>
      </c>
      <c r="B4">
        <v>397</v>
      </c>
    </row>
    <row r="5" spans="1:5" x14ac:dyDescent="0.25">
      <c r="A5" s="12">
        <v>2</v>
      </c>
      <c r="B5">
        <v>540</v>
      </c>
    </row>
    <row r="6" spans="1:5" x14ac:dyDescent="0.25">
      <c r="A6" s="12">
        <v>3</v>
      </c>
      <c r="B6">
        <v>375</v>
      </c>
    </row>
    <row r="7" spans="1:5" x14ac:dyDescent="0.25">
      <c r="A7" s="12">
        <v>4</v>
      </c>
      <c r="B7">
        <v>246</v>
      </c>
    </row>
    <row r="8" spans="1:5" x14ac:dyDescent="0.25">
      <c r="A8" s="12">
        <v>5</v>
      </c>
      <c r="B8">
        <v>195</v>
      </c>
    </row>
    <row r="9" spans="1:5" x14ac:dyDescent="0.25">
      <c r="A9" s="12" t="s">
        <v>2541</v>
      </c>
      <c r="B9">
        <v>414</v>
      </c>
    </row>
    <row r="10" spans="1:5" x14ac:dyDescent="0.25">
      <c r="A10" s="12" t="s">
        <v>2542</v>
      </c>
      <c r="B10">
        <v>233</v>
      </c>
    </row>
    <row r="11" spans="1:5" x14ac:dyDescent="0.25">
      <c r="A11" s="12" t="s">
        <v>2532</v>
      </c>
      <c r="B11">
        <v>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7C0CF-3FDE-4826-9386-645BBCF05022}">
  <dimension ref="A2:I25"/>
  <sheetViews>
    <sheetView workbookViewId="0">
      <selection activeCell="AE6" sqref="AE6"/>
    </sheetView>
  </sheetViews>
  <sheetFormatPr defaultRowHeight="15" x14ac:dyDescent="0.25"/>
  <cols>
    <col min="1" max="1" width="20.85546875" bestFit="1" customWidth="1"/>
    <col min="2" max="2" width="16.85546875" bestFit="1" customWidth="1"/>
    <col min="3" max="3" width="5.28515625" bestFit="1" customWidth="1"/>
    <col min="4" max="4" width="6.140625" bestFit="1" customWidth="1"/>
    <col min="5" max="5" width="9.28515625" bestFit="1" customWidth="1"/>
    <col min="6" max="6" width="11.28515625" bestFit="1" customWidth="1"/>
    <col min="8" max="8" width="13.42578125" bestFit="1" customWidth="1"/>
    <col min="9" max="9" width="15.5703125" bestFit="1" customWidth="1"/>
    <col min="10" max="10" width="5.28515625" bestFit="1" customWidth="1"/>
    <col min="11" max="11" width="6.140625" bestFit="1" customWidth="1"/>
    <col min="12" max="12" width="9.28515625" bestFit="1" customWidth="1"/>
    <col min="13" max="13" width="11.28515625" bestFit="1" customWidth="1"/>
  </cols>
  <sheetData>
    <row r="2" spans="1:9" x14ac:dyDescent="0.25">
      <c r="D2" t="s">
        <v>2543</v>
      </c>
      <c r="H2" t="s">
        <v>2555</v>
      </c>
    </row>
    <row r="3" spans="1:9" x14ac:dyDescent="0.25">
      <c r="A3" s="11" t="s">
        <v>2519</v>
      </c>
      <c r="B3" s="11" t="s">
        <v>2537</v>
      </c>
      <c r="H3" s="11" t="s">
        <v>2531</v>
      </c>
      <c r="I3" t="s">
        <v>2519</v>
      </c>
    </row>
    <row r="4" spans="1:9" x14ac:dyDescent="0.25">
      <c r="A4" s="11" t="s">
        <v>2531</v>
      </c>
      <c r="B4" t="s">
        <v>2533</v>
      </c>
      <c r="C4" t="s">
        <v>2534</v>
      </c>
      <c r="D4" t="s">
        <v>2535</v>
      </c>
      <c r="E4" t="s">
        <v>2536</v>
      </c>
      <c r="F4" t="s">
        <v>2532</v>
      </c>
      <c r="H4" s="12" t="s">
        <v>2533</v>
      </c>
      <c r="I4">
        <v>6272</v>
      </c>
    </row>
    <row r="5" spans="1:9" x14ac:dyDescent="0.25">
      <c r="A5" s="12" t="s">
        <v>171</v>
      </c>
      <c r="B5">
        <v>26</v>
      </c>
      <c r="C5">
        <v>35</v>
      </c>
      <c r="D5">
        <v>4</v>
      </c>
      <c r="F5">
        <v>65</v>
      </c>
      <c r="H5" s="12" t="s">
        <v>2534</v>
      </c>
      <c r="I5">
        <v>4672</v>
      </c>
    </row>
    <row r="6" spans="1:9" x14ac:dyDescent="0.25">
      <c r="A6" s="12" t="s">
        <v>81</v>
      </c>
      <c r="B6">
        <v>43</v>
      </c>
      <c r="C6">
        <v>90</v>
      </c>
      <c r="D6">
        <v>8</v>
      </c>
      <c r="E6">
        <v>6</v>
      </c>
      <c r="F6">
        <v>147</v>
      </c>
      <c r="H6" s="12" t="s">
        <v>2535</v>
      </c>
      <c r="I6">
        <v>317</v>
      </c>
    </row>
    <row r="7" spans="1:9" x14ac:dyDescent="0.25">
      <c r="A7" s="12" t="s">
        <v>76</v>
      </c>
      <c r="B7">
        <v>75</v>
      </c>
      <c r="C7">
        <v>103</v>
      </c>
      <c r="D7">
        <v>4</v>
      </c>
      <c r="E7">
        <v>6</v>
      </c>
      <c r="F7">
        <v>188</v>
      </c>
      <c r="H7" s="12" t="s">
        <v>2536</v>
      </c>
      <c r="I7">
        <v>736</v>
      </c>
    </row>
    <row r="8" spans="1:9" x14ac:dyDescent="0.25">
      <c r="A8" s="12" t="s">
        <v>128</v>
      </c>
      <c r="B8">
        <v>99</v>
      </c>
      <c r="C8">
        <v>69</v>
      </c>
      <c r="D8">
        <v>3</v>
      </c>
      <c r="E8">
        <v>24</v>
      </c>
      <c r="F8">
        <v>195</v>
      </c>
      <c r="H8" s="12" t="s">
        <v>2532</v>
      </c>
      <c r="I8">
        <v>11997</v>
      </c>
    </row>
    <row r="9" spans="1:9" x14ac:dyDescent="0.25">
      <c r="A9" s="12" t="s">
        <v>135</v>
      </c>
      <c r="B9">
        <v>127</v>
      </c>
      <c r="C9">
        <v>118</v>
      </c>
      <c r="D9">
        <v>13</v>
      </c>
      <c r="E9">
        <v>12</v>
      </c>
      <c r="F9">
        <v>270</v>
      </c>
    </row>
    <row r="10" spans="1:9" x14ac:dyDescent="0.25">
      <c r="A10" s="12" t="s">
        <v>30</v>
      </c>
      <c r="B10">
        <v>146</v>
      </c>
      <c r="C10">
        <v>94</v>
      </c>
      <c r="D10">
        <v>4</v>
      </c>
      <c r="E10">
        <v>28</v>
      </c>
      <c r="F10">
        <v>272</v>
      </c>
    </row>
    <row r="11" spans="1:9" x14ac:dyDescent="0.25">
      <c r="A11" s="12" t="s">
        <v>123</v>
      </c>
      <c r="B11">
        <v>153</v>
      </c>
      <c r="C11">
        <v>246</v>
      </c>
      <c r="D11">
        <v>30</v>
      </c>
      <c r="E11">
        <v>8</v>
      </c>
      <c r="F11">
        <v>437</v>
      </c>
    </row>
    <row r="12" spans="1:9" x14ac:dyDescent="0.25">
      <c r="A12" s="12" t="s">
        <v>67</v>
      </c>
      <c r="B12">
        <v>179</v>
      </c>
      <c r="C12">
        <v>76</v>
      </c>
      <c r="D12">
        <v>3</v>
      </c>
      <c r="F12">
        <v>258</v>
      </c>
    </row>
    <row r="13" spans="1:9" x14ac:dyDescent="0.25">
      <c r="A13" s="12" t="s">
        <v>146</v>
      </c>
      <c r="B13">
        <v>189</v>
      </c>
      <c r="C13">
        <v>168</v>
      </c>
      <c r="D13">
        <v>10</v>
      </c>
      <c r="E13">
        <v>31</v>
      </c>
      <c r="F13">
        <v>398</v>
      </c>
    </row>
    <row r="14" spans="1:9" x14ac:dyDescent="0.25">
      <c r="A14" s="12" t="s">
        <v>69</v>
      </c>
      <c r="B14">
        <v>234</v>
      </c>
      <c r="C14">
        <v>93</v>
      </c>
      <c r="D14">
        <v>19</v>
      </c>
      <c r="E14">
        <v>24</v>
      </c>
      <c r="F14">
        <v>370</v>
      </c>
    </row>
    <row r="15" spans="1:9" x14ac:dyDescent="0.25">
      <c r="A15" s="12" t="s">
        <v>42</v>
      </c>
      <c r="B15">
        <v>264</v>
      </c>
      <c r="C15">
        <v>318</v>
      </c>
      <c r="D15">
        <v>15</v>
      </c>
      <c r="E15">
        <v>9</v>
      </c>
      <c r="F15">
        <v>606</v>
      </c>
    </row>
    <row r="16" spans="1:9" x14ac:dyDescent="0.25">
      <c r="A16" s="12" t="s">
        <v>37</v>
      </c>
      <c r="B16">
        <v>296</v>
      </c>
      <c r="C16">
        <v>275</v>
      </c>
      <c r="D16">
        <v>9</v>
      </c>
      <c r="E16">
        <v>23</v>
      </c>
      <c r="F16">
        <v>603</v>
      </c>
    </row>
    <row r="17" spans="1:6" x14ac:dyDescent="0.25">
      <c r="A17" s="12" t="s">
        <v>16</v>
      </c>
      <c r="B17">
        <v>428</v>
      </c>
      <c r="C17">
        <v>293</v>
      </c>
      <c r="E17">
        <v>24</v>
      </c>
      <c r="F17">
        <v>745</v>
      </c>
    </row>
    <row r="18" spans="1:6" x14ac:dyDescent="0.25">
      <c r="A18" s="12" t="s">
        <v>32</v>
      </c>
      <c r="B18">
        <v>431</v>
      </c>
      <c r="C18">
        <v>187</v>
      </c>
      <c r="D18">
        <v>14</v>
      </c>
      <c r="E18">
        <v>15</v>
      </c>
      <c r="F18">
        <v>647</v>
      </c>
    </row>
    <row r="19" spans="1:6" x14ac:dyDescent="0.25">
      <c r="A19" s="12" t="s">
        <v>46</v>
      </c>
      <c r="B19">
        <v>445</v>
      </c>
      <c r="C19">
        <v>202</v>
      </c>
      <c r="D19">
        <v>14</v>
      </c>
      <c r="E19">
        <v>39</v>
      </c>
      <c r="F19">
        <v>700</v>
      </c>
    </row>
    <row r="20" spans="1:6" x14ac:dyDescent="0.25">
      <c r="A20" s="12" t="s">
        <v>54</v>
      </c>
      <c r="B20">
        <v>482</v>
      </c>
      <c r="C20">
        <v>295</v>
      </c>
      <c r="D20">
        <v>8</v>
      </c>
      <c r="E20">
        <v>22</v>
      </c>
      <c r="F20">
        <v>807</v>
      </c>
    </row>
    <row r="21" spans="1:6" x14ac:dyDescent="0.25">
      <c r="A21" s="12" t="s">
        <v>22</v>
      </c>
      <c r="B21">
        <v>568</v>
      </c>
      <c r="C21">
        <v>306</v>
      </c>
      <c r="D21">
        <v>22</v>
      </c>
      <c r="E21">
        <v>16</v>
      </c>
      <c r="F21">
        <v>912</v>
      </c>
    </row>
    <row r="22" spans="1:6" x14ac:dyDescent="0.25">
      <c r="A22" s="12" t="s">
        <v>26</v>
      </c>
      <c r="B22">
        <v>627</v>
      </c>
      <c r="C22">
        <v>393</v>
      </c>
      <c r="D22">
        <v>29</v>
      </c>
      <c r="E22">
        <v>137</v>
      </c>
      <c r="F22">
        <v>1186</v>
      </c>
    </row>
    <row r="23" spans="1:6" x14ac:dyDescent="0.25">
      <c r="A23" s="12" t="s">
        <v>39</v>
      </c>
      <c r="B23">
        <v>716</v>
      </c>
      <c r="C23">
        <v>598</v>
      </c>
      <c r="D23">
        <v>18</v>
      </c>
      <c r="E23">
        <v>214</v>
      </c>
      <c r="F23">
        <v>1546</v>
      </c>
    </row>
    <row r="24" spans="1:6" x14ac:dyDescent="0.25">
      <c r="A24" s="12" t="s">
        <v>44</v>
      </c>
      <c r="B24">
        <v>744</v>
      </c>
      <c r="C24">
        <v>713</v>
      </c>
      <c r="D24">
        <v>90</v>
      </c>
      <c r="E24">
        <v>98</v>
      </c>
      <c r="F24">
        <v>1645</v>
      </c>
    </row>
    <row r="25" spans="1:6" x14ac:dyDescent="0.25">
      <c r="A25" s="12" t="s">
        <v>2532</v>
      </c>
      <c r="B25">
        <v>6272</v>
      </c>
      <c r="C25">
        <v>4672</v>
      </c>
      <c r="D25">
        <v>317</v>
      </c>
      <c r="E25">
        <v>736</v>
      </c>
      <c r="F25">
        <v>11997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1C779-273A-451C-ACA7-5B84FB5F3242}">
  <dimension ref="A2:N61"/>
  <sheetViews>
    <sheetView workbookViewId="0">
      <selection activeCell="AE6" sqref="AE6"/>
    </sheetView>
  </sheetViews>
  <sheetFormatPr defaultRowHeight="15" x14ac:dyDescent="0.25"/>
  <cols>
    <col min="1" max="1" width="25.7109375" bestFit="1" customWidth="1"/>
    <col min="2" max="2" width="22" bestFit="1" customWidth="1"/>
    <col min="3" max="3" width="15.5703125" bestFit="1" customWidth="1"/>
    <col min="4" max="4" width="14.85546875" bestFit="1" customWidth="1"/>
    <col min="8" max="8" width="9.7109375" bestFit="1" customWidth="1"/>
    <col min="9" max="9" width="22" bestFit="1" customWidth="1"/>
    <col min="10" max="10" width="5" bestFit="1" customWidth="1"/>
    <col min="12" max="12" width="20.7109375" bestFit="1" customWidth="1"/>
    <col min="13" max="13" width="22" bestFit="1" customWidth="1"/>
    <col min="14" max="14" width="9" bestFit="1" customWidth="1"/>
  </cols>
  <sheetData>
    <row r="2" spans="1:14" x14ac:dyDescent="0.25">
      <c r="E2" t="s">
        <v>2544</v>
      </c>
      <c r="H2" t="s">
        <v>2545</v>
      </c>
      <c r="L2" t="s">
        <v>2548</v>
      </c>
    </row>
    <row r="3" spans="1:14" x14ac:dyDescent="0.25">
      <c r="A3" s="11" t="s">
        <v>10</v>
      </c>
      <c r="B3" s="11" t="s">
        <v>11</v>
      </c>
      <c r="C3" t="s">
        <v>2519</v>
      </c>
      <c r="D3" t="s">
        <v>2520</v>
      </c>
      <c r="H3" t="s">
        <v>2546</v>
      </c>
      <c r="I3" t="s">
        <v>2547</v>
      </c>
      <c r="J3" t="s">
        <v>2526</v>
      </c>
      <c r="L3" t="s">
        <v>10</v>
      </c>
      <c r="M3" t="s">
        <v>11</v>
      </c>
      <c r="N3" t="s">
        <v>4</v>
      </c>
    </row>
    <row r="4" spans="1:14" x14ac:dyDescent="0.25">
      <c r="A4" t="s">
        <v>19</v>
      </c>
      <c r="B4" t="s">
        <v>115</v>
      </c>
      <c r="C4">
        <v>579</v>
      </c>
      <c r="D4">
        <v>31884.999999999996</v>
      </c>
      <c r="H4" t="str" cm="1">
        <f t="array" ref="H4:J4">IF(A4:C4="","",A4:C4)</f>
        <v>California</v>
      </c>
      <c r="I4" t="str">
        <v>Alameda County</v>
      </c>
      <c r="J4">
        <v>579</v>
      </c>
      <c r="L4" t="str" cm="1">
        <f t="array" ref="L4:M4">IF(A4:B4="","",A4:B4)</f>
        <v>California</v>
      </c>
      <c r="M4" t="str">
        <v>Alameda County</v>
      </c>
      <c r="N4">
        <f>IF(D4="","",D4)</f>
        <v>31884.999999999996</v>
      </c>
    </row>
    <row r="5" spans="1:14" x14ac:dyDescent="0.25">
      <c r="A5" t="s">
        <v>19</v>
      </c>
      <c r="B5" t="s">
        <v>20</v>
      </c>
      <c r="C5">
        <v>1</v>
      </c>
      <c r="D5">
        <v>10.9</v>
      </c>
      <c r="H5" t="str" cm="1">
        <f t="array" ref="H5:J5">IF(A5:C5="","",A5:C5)</f>
        <v>California</v>
      </c>
      <c r="I5" t="str">
        <v>Alpine County</v>
      </c>
      <c r="J5">
        <v>1</v>
      </c>
      <c r="L5" t="str" cm="1">
        <f t="array" ref="L5:M5">IF(A5:B5="","",A5:B5)</f>
        <v>California</v>
      </c>
      <c r="M5" t="str">
        <v>Alpine County</v>
      </c>
      <c r="N5">
        <f t="shared" ref="N5:N61" si="0">IF(D5="","",D5)</f>
        <v>10.9</v>
      </c>
    </row>
    <row r="6" spans="1:14" x14ac:dyDescent="0.25">
      <c r="A6" t="s">
        <v>19</v>
      </c>
      <c r="B6" t="s">
        <v>641</v>
      </c>
      <c r="C6">
        <v>9</v>
      </c>
      <c r="D6">
        <v>800.3</v>
      </c>
      <c r="H6" t="str" cm="1">
        <f t="array" ref="H6:J6">IF(A6:C6="","",A6:C6)</f>
        <v>California</v>
      </c>
      <c r="I6" t="str">
        <v>Amador County</v>
      </c>
      <c r="J6">
        <v>9</v>
      </c>
      <c r="L6" t="str" cm="1">
        <f t="array" ref="L6:M6">IF(A6:B6="","",A6:B6)</f>
        <v>California</v>
      </c>
      <c r="M6" t="str">
        <v>Amador County</v>
      </c>
      <c r="N6">
        <f t="shared" si="0"/>
        <v>800.3</v>
      </c>
    </row>
    <row r="7" spans="1:14" x14ac:dyDescent="0.25">
      <c r="A7" t="s">
        <v>19</v>
      </c>
      <c r="B7" t="s">
        <v>967</v>
      </c>
      <c r="C7">
        <v>35</v>
      </c>
      <c r="D7">
        <v>1062.5999999999999</v>
      </c>
      <c r="H7" t="str" cm="1">
        <f t="array" ref="H7:J7">IF(A7:C7="","",A7:C7)</f>
        <v>California</v>
      </c>
      <c r="I7" t="str">
        <v>Butte County</v>
      </c>
      <c r="J7">
        <v>35</v>
      </c>
      <c r="L7" t="str" cm="1">
        <f t="array" ref="L7:M7">IF(A7:B7="","",A7:B7)</f>
        <v>California</v>
      </c>
      <c r="M7" t="str">
        <v>Butte County</v>
      </c>
      <c r="N7">
        <f t="shared" si="0"/>
        <v>1062.5999999999999</v>
      </c>
    </row>
    <row r="8" spans="1:14" x14ac:dyDescent="0.25">
      <c r="A8" t="s">
        <v>19</v>
      </c>
      <c r="B8" t="s">
        <v>84</v>
      </c>
      <c r="C8">
        <v>12</v>
      </c>
      <c r="D8">
        <v>326.20000000000005</v>
      </c>
      <c r="H8" t="str" cm="1">
        <f t="array" ref="H8:J8">IF(A8:C8="","",A8:C8)</f>
        <v>California</v>
      </c>
      <c r="I8" t="str">
        <v>Calaveras County</v>
      </c>
      <c r="J8">
        <v>12</v>
      </c>
      <c r="L8" t="str" cm="1">
        <f t="array" ref="L8:M8">IF(A8:B8="","",A8:B8)</f>
        <v>California</v>
      </c>
      <c r="M8" t="str">
        <v>Calaveras County</v>
      </c>
      <c r="N8">
        <f t="shared" si="0"/>
        <v>326.20000000000005</v>
      </c>
    </row>
    <row r="9" spans="1:14" x14ac:dyDescent="0.25">
      <c r="A9" t="s">
        <v>19</v>
      </c>
      <c r="B9" t="s">
        <v>1383</v>
      </c>
      <c r="C9">
        <v>4</v>
      </c>
      <c r="D9">
        <v>167.5</v>
      </c>
      <c r="H9" t="str" cm="1">
        <f t="array" ref="H9:J9">IF(A9:C9="","",A9:C9)</f>
        <v>California</v>
      </c>
      <c r="I9" t="str">
        <v>Colusa County</v>
      </c>
      <c r="J9">
        <v>4</v>
      </c>
      <c r="L9" t="str" cm="1">
        <f t="array" ref="L9:M9">IF(A9:B9="","",A9:B9)</f>
        <v>California</v>
      </c>
      <c r="M9" t="str">
        <v>Colusa County</v>
      </c>
      <c r="N9">
        <f t="shared" si="0"/>
        <v>167.5</v>
      </c>
    </row>
    <row r="10" spans="1:14" x14ac:dyDescent="0.25">
      <c r="A10" t="s">
        <v>19</v>
      </c>
      <c r="B10" t="s">
        <v>24</v>
      </c>
      <c r="C10">
        <v>341</v>
      </c>
      <c r="D10">
        <v>16168.7</v>
      </c>
      <c r="H10" t="str" cm="1">
        <f t="array" ref="H10:J10">IF(A10:C10="","",A10:C10)</f>
        <v>California</v>
      </c>
      <c r="I10" t="str">
        <v>Contra Costa County</v>
      </c>
      <c r="J10">
        <v>341</v>
      </c>
      <c r="L10" t="str" cm="1">
        <f t="array" ref="L10:M10">IF(A10:B10="","",A10:B10)</f>
        <v>California</v>
      </c>
      <c r="M10" t="str">
        <v>Contra Costa County</v>
      </c>
      <c r="N10">
        <f t="shared" si="0"/>
        <v>16168.7</v>
      </c>
    </row>
    <row r="11" spans="1:14" x14ac:dyDescent="0.25">
      <c r="A11" t="s">
        <v>19</v>
      </c>
      <c r="B11" t="s">
        <v>2204</v>
      </c>
      <c r="C11">
        <v>13</v>
      </c>
      <c r="D11">
        <v>322.40000000000003</v>
      </c>
      <c r="H11" t="str" cm="1">
        <f t="array" ref="H11:J11">IF(A11:C11="","",A11:C11)</f>
        <v>California</v>
      </c>
      <c r="I11" t="str">
        <v>Del Norte County</v>
      </c>
      <c r="J11">
        <v>13</v>
      </c>
      <c r="L11" t="str" cm="1">
        <f t="array" ref="L11:M11">IF(A11:B11="","",A11:B11)</f>
        <v>California</v>
      </c>
      <c r="M11" t="str">
        <v>Del Norte County</v>
      </c>
      <c r="N11">
        <f t="shared" si="0"/>
        <v>322.40000000000003</v>
      </c>
    </row>
    <row r="12" spans="1:14" x14ac:dyDescent="0.25">
      <c r="A12" t="s">
        <v>19</v>
      </c>
      <c r="B12" t="s">
        <v>437</v>
      </c>
      <c r="C12">
        <v>31</v>
      </c>
      <c r="D12">
        <v>2092.8000000000002</v>
      </c>
      <c r="H12" t="str" cm="1">
        <f t="array" ref="H12:J12">IF(A12:C12="","",A12:C12)</f>
        <v>California</v>
      </c>
      <c r="I12" t="str">
        <v>El Dorado County</v>
      </c>
      <c r="J12">
        <v>31</v>
      </c>
      <c r="L12" t="str" cm="1">
        <f t="array" ref="L12:M12">IF(A12:B12="","",A12:B12)</f>
        <v>California</v>
      </c>
      <c r="M12" t="str">
        <v>El Dorado County</v>
      </c>
      <c r="N12">
        <f t="shared" si="0"/>
        <v>2092.8000000000002</v>
      </c>
    </row>
    <row r="13" spans="1:14" x14ac:dyDescent="0.25">
      <c r="A13" t="s">
        <v>19</v>
      </c>
      <c r="B13" t="s">
        <v>28</v>
      </c>
      <c r="C13">
        <v>279</v>
      </c>
      <c r="D13">
        <v>12662.500000000002</v>
      </c>
      <c r="H13" t="str" cm="1">
        <f t="array" ref="H13:J13">IF(A13:C13="","",A13:C13)</f>
        <v>California</v>
      </c>
      <c r="I13" t="str">
        <v>Fresno County</v>
      </c>
      <c r="J13">
        <v>279</v>
      </c>
      <c r="L13" t="str" cm="1">
        <f t="array" ref="L13:M13">IF(A13:B13="","",A13:B13)</f>
        <v>California</v>
      </c>
      <c r="M13" t="str">
        <v>Fresno County</v>
      </c>
      <c r="N13">
        <f t="shared" si="0"/>
        <v>12662.500000000002</v>
      </c>
    </row>
    <row r="14" spans="1:14" x14ac:dyDescent="0.25">
      <c r="A14" t="s">
        <v>19</v>
      </c>
      <c r="B14" t="s">
        <v>208</v>
      </c>
      <c r="C14">
        <v>9</v>
      </c>
      <c r="D14">
        <v>343.2</v>
      </c>
      <c r="H14" t="str" cm="1">
        <f t="array" ref="H14:J14">IF(A14:C14="","",A14:C14)</f>
        <v>California</v>
      </c>
      <c r="I14" t="str">
        <v>Glenn County</v>
      </c>
      <c r="J14">
        <v>9</v>
      </c>
      <c r="L14" t="str" cm="1">
        <f t="array" ref="L14:M14">IF(A14:B14="","",A14:B14)</f>
        <v>California</v>
      </c>
      <c r="M14" t="str">
        <v>Glenn County</v>
      </c>
      <c r="N14">
        <f t="shared" si="0"/>
        <v>343.2</v>
      </c>
    </row>
    <row r="15" spans="1:14" x14ac:dyDescent="0.25">
      <c r="A15" t="s">
        <v>19</v>
      </c>
      <c r="B15" t="s">
        <v>587</v>
      </c>
      <c r="C15">
        <v>49</v>
      </c>
      <c r="D15">
        <v>2188.2999999999997</v>
      </c>
      <c r="H15" t="str" cm="1">
        <f t="array" ref="H15:J15">IF(A15:C15="","",A15:C15)</f>
        <v>California</v>
      </c>
      <c r="I15" t="str">
        <v>Humboldt County</v>
      </c>
      <c r="J15">
        <v>49</v>
      </c>
      <c r="L15" t="str" cm="1">
        <f t="array" ref="L15:M15">IF(A15:B15="","",A15:B15)</f>
        <v>California</v>
      </c>
      <c r="M15" t="str">
        <v>Humboldt County</v>
      </c>
      <c r="N15">
        <f t="shared" si="0"/>
        <v>2188.2999999999997</v>
      </c>
    </row>
    <row r="16" spans="1:14" x14ac:dyDescent="0.25">
      <c r="A16" t="s">
        <v>19</v>
      </c>
      <c r="B16" t="s">
        <v>331</v>
      </c>
      <c r="C16">
        <v>59</v>
      </c>
      <c r="D16">
        <v>2661.5999999999995</v>
      </c>
      <c r="H16" t="str" cm="1">
        <f t="array" ref="H16:J16">IF(A16:C16="","",A16:C16)</f>
        <v>California</v>
      </c>
      <c r="I16" t="str">
        <v>Imperial County</v>
      </c>
      <c r="J16">
        <v>59</v>
      </c>
      <c r="L16" t="str" cm="1">
        <f t="array" ref="L16:M16">IF(A16:B16="","",A16:B16)</f>
        <v>California</v>
      </c>
      <c r="M16" t="str">
        <v>Imperial County</v>
      </c>
      <c r="N16">
        <f t="shared" si="0"/>
        <v>2661.5999999999995</v>
      </c>
    </row>
    <row r="17" spans="1:14" x14ac:dyDescent="0.25">
      <c r="A17" t="s">
        <v>19</v>
      </c>
      <c r="B17" t="s">
        <v>86</v>
      </c>
      <c r="C17">
        <v>8</v>
      </c>
      <c r="D17">
        <v>887.5</v>
      </c>
      <c r="H17" t="str" cm="1">
        <f t="array" ref="H17:J17">IF(A17:C17="","",A17:C17)</f>
        <v>California</v>
      </c>
      <c r="I17" t="str">
        <v>Inyo County</v>
      </c>
      <c r="J17">
        <v>8</v>
      </c>
      <c r="L17" t="str" cm="1">
        <f t="array" ref="L17:M17">IF(A17:B17="","",A17:B17)</f>
        <v>California</v>
      </c>
      <c r="M17" t="str">
        <v>Inyo County</v>
      </c>
      <c r="N17">
        <f t="shared" si="0"/>
        <v>887.5</v>
      </c>
    </row>
    <row r="18" spans="1:14" x14ac:dyDescent="0.25">
      <c r="A18" t="s">
        <v>19</v>
      </c>
      <c r="B18" t="s">
        <v>147</v>
      </c>
      <c r="C18">
        <v>222</v>
      </c>
      <c r="D18">
        <v>11354.199999999993</v>
      </c>
      <c r="H18" t="str" cm="1">
        <f t="array" ref="H18:J18">IF(A18:C18="","",A18:C18)</f>
        <v>California</v>
      </c>
      <c r="I18" t="str">
        <v>Kern County</v>
      </c>
      <c r="J18">
        <v>222</v>
      </c>
      <c r="L18" t="str" cm="1">
        <f t="array" ref="L18:M18">IF(A18:B18="","",A18:B18)</f>
        <v>California</v>
      </c>
      <c r="M18" t="str">
        <v>Kern County</v>
      </c>
      <c r="N18">
        <f t="shared" si="0"/>
        <v>11354.199999999993</v>
      </c>
    </row>
    <row r="19" spans="1:14" x14ac:dyDescent="0.25">
      <c r="A19" t="s">
        <v>19</v>
      </c>
      <c r="B19" t="s">
        <v>334</v>
      </c>
      <c r="C19">
        <v>36</v>
      </c>
      <c r="D19">
        <v>1558.4</v>
      </c>
      <c r="H19" t="str" cm="1">
        <f t="array" ref="H19:J19">IF(A19:C19="","",A19:C19)</f>
        <v>California</v>
      </c>
      <c r="I19" t="str">
        <v>Kings County</v>
      </c>
      <c r="J19">
        <v>36</v>
      </c>
      <c r="L19" t="str" cm="1">
        <f t="array" ref="L19:M19">IF(A19:B19="","",A19:B19)</f>
        <v>California</v>
      </c>
      <c r="M19" t="str">
        <v>Kings County</v>
      </c>
      <c r="N19">
        <f t="shared" si="0"/>
        <v>1558.4</v>
      </c>
    </row>
    <row r="20" spans="1:14" x14ac:dyDescent="0.25">
      <c r="A20" t="s">
        <v>19</v>
      </c>
      <c r="B20" t="s">
        <v>949</v>
      </c>
      <c r="C20">
        <v>30</v>
      </c>
      <c r="D20">
        <v>2223.9</v>
      </c>
      <c r="H20" t="str" cm="1">
        <f t="array" ref="H20:J20">IF(A20:C20="","",A20:C20)</f>
        <v>California</v>
      </c>
      <c r="I20" t="str">
        <v>Lake County</v>
      </c>
      <c r="J20">
        <v>30</v>
      </c>
      <c r="L20" t="str" cm="1">
        <f t="array" ref="L20:M20">IF(A20:B20="","",A20:B20)</f>
        <v>California</v>
      </c>
      <c r="M20" t="str">
        <v>Lake County</v>
      </c>
      <c r="N20">
        <f t="shared" si="0"/>
        <v>2223.9</v>
      </c>
    </row>
    <row r="21" spans="1:14" x14ac:dyDescent="0.25">
      <c r="A21" t="s">
        <v>19</v>
      </c>
      <c r="B21" t="s">
        <v>1426</v>
      </c>
      <c r="C21">
        <v>1</v>
      </c>
      <c r="D21">
        <v>26.2</v>
      </c>
      <c r="H21" t="str" cm="1">
        <f t="array" ref="H21:J21">IF(A21:C21="","",A21:C21)</f>
        <v>California</v>
      </c>
      <c r="I21" t="str">
        <v>Lassen County</v>
      </c>
      <c r="J21">
        <v>1</v>
      </c>
      <c r="L21" t="str" cm="1">
        <f t="array" ref="L21:M21">IF(A21:B21="","",A21:B21)</f>
        <v>California</v>
      </c>
      <c r="M21" t="str">
        <v>Lassen County</v>
      </c>
      <c r="N21">
        <f t="shared" si="0"/>
        <v>26.2</v>
      </c>
    </row>
    <row r="22" spans="1:14" x14ac:dyDescent="0.25">
      <c r="A22" t="s">
        <v>19</v>
      </c>
      <c r="B22" t="s">
        <v>33</v>
      </c>
      <c r="C22">
        <v>3991</v>
      </c>
      <c r="D22">
        <v>215551.19999999981</v>
      </c>
      <c r="H22" t="str" cm="1">
        <f t="array" ref="H22:J22">IF(A22:C22="","",A22:C22)</f>
        <v>California</v>
      </c>
      <c r="I22" t="str">
        <v>Los Angeles County</v>
      </c>
      <c r="J22">
        <v>3991</v>
      </c>
      <c r="L22" t="str" cm="1">
        <f t="array" ref="L22:M22">IF(A22:B22="","",A22:B22)</f>
        <v>California</v>
      </c>
      <c r="M22" t="str">
        <v>Los Angeles County</v>
      </c>
      <c r="N22">
        <f t="shared" si="0"/>
        <v>215551.19999999981</v>
      </c>
    </row>
    <row r="23" spans="1:14" x14ac:dyDescent="0.25">
      <c r="A23" t="s">
        <v>19</v>
      </c>
      <c r="B23" t="s">
        <v>364</v>
      </c>
      <c r="C23">
        <v>45</v>
      </c>
      <c r="D23">
        <v>2687.3999999999996</v>
      </c>
      <c r="H23" t="str" cm="1">
        <f t="array" ref="H23:J23">IF(A23:C23="","",A23:C23)</f>
        <v>California</v>
      </c>
      <c r="I23" t="str">
        <v>Madera County</v>
      </c>
      <c r="J23">
        <v>45</v>
      </c>
      <c r="L23" t="str" cm="1">
        <f t="array" ref="L23:M23">IF(A23:B23="","",A23:B23)</f>
        <v>California</v>
      </c>
      <c r="M23" t="str">
        <v>Madera County</v>
      </c>
      <c r="N23">
        <f t="shared" si="0"/>
        <v>2687.3999999999996</v>
      </c>
    </row>
    <row r="24" spans="1:14" x14ac:dyDescent="0.25">
      <c r="A24" t="s">
        <v>19</v>
      </c>
      <c r="B24" t="s">
        <v>545</v>
      </c>
      <c r="C24">
        <v>39</v>
      </c>
      <c r="D24">
        <v>1463.3000000000002</v>
      </c>
      <c r="H24" t="str" cm="1">
        <f t="array" ref="H24:J24">IF(A24:C24="","",A24:C24)</f>
        <v>California</v>
      </c>
      <c r="I24" t="str">
        <v>Marin County</v>
      </c>
      <c r="J24">
        <v>39</v>
      </c>
      <c r="L24" t="str" cm="1">
        <f t="array" ref="L24:M24">IF(A24:B24="","",A24:B24)</f>
        <v>California</v>
      </c>
      <c r="M24" t="str">
        <v>Marin County</v>
      </c>
      <c r="N24">
        <f t="shared" si="0"/>
        <v>1463.3000000000002</v>
      </c>
    </row>
    <row r="25" spans="1:14" x14ac:dyDescent="0.25">
      <c r="A25" t="s">
        <v>19</v>
      </c>
      <c r="B25" t="s">
        <v>416</v>
      </c>
      <c r="C25">
        <v>6</v>
      </c>
      <c r="D25">
        <v>445.79999999999995</v>
      </c>
      <c r="H25" t="str" cm="1">
        <f t="array" ref="H25:J25">IF(A25:C25="","",A25:C25)</f>
        <v>California</v>
      </c>
      <c r="I25" t="str">
        <v>Mariposa County</v>
      </c>
      <c r="J25">
        <v>6</v>
      </c>
      <c r="L25" t="str" cm="1">
        <f t="array" ref="L25:M25">IF(A25:B25="","",A25:B25)</f>
        <v>California</v>
      </c>
      <c r="M25" t="str">
        <v>Mariposa County</v>
      </c>
      <c r="N25">
        <f t="shared" si="0"/>
        <v>445.79999999999995</v>
      </c>
    </row>
    <row r="26" spans="1:14" x14ac:dyDescent="0.25">
      <c r="A26" t="s">
        <v>19</v>
      </c>
      <c r="B26" t="s">
        <v>258</v>
      </c>
      <c r="C26">
        <v>9</v>
      </c>
      <c r="D26">
        <v>273.59999999999997</v>
      </c>
      <c r="H26" t="str" cm="1">
        <f t="array" ref="H26:J26">IF(A26:C26="","",A26:C26)</f>
        <v>California</v>
      </c>
      <c r="I26" t="str">
        <v>Mendocino County</v>
      </c>
      <c r="J26">
        <v>9</v>
      </c>
      <c r="L26" t="str" cm="1">
        <f t="array" ref="L26:M26">IF(A26:B26="","",A26:B26)</f>
        <v>California</v>
      </c>
      <c r="M26" t="str">
        <v>Mendocino County</v>
      </c>
      <c r="N26">
        <f t="shared" si="0"/>
        <v>273.59999999999997</v>
      </c>
    </row>
    <row r="27" spans="1:14" x14ac:dyDescent="0.25">
      <c r="A27" t="s">
        <v>19</v>
      </c>
      <c r="B27" t="s">
        <v>186</v>
      </c>
      <c r="C27">
        <v>60</v>
      </c>
      <c r="D27">
        <v>2690.4</v>
      </c>
      <c r="H27" t="str" cm="1">
        <f t="array" ref="H27:J27">IF(A27:C27="","",A27:C27)</f>
        <v>California</v>
      </c>
      <c r="I27" t="str">
        <v>Merced County</v>
      </c>
      <c r="J27">
        <v>60</v>
      </c>
      <c r="L27" t="str" cm="1">
        <f t="array" ref="L27:M27">IF(A27:B27="","",A27:B27)</f>
        <v>California</v>
      </c>
      <c r="M27" t="str">
        <v>Merced County</v>
      </c>
      <c r="N27">
        <f t="shared" si="0"/>
        <v>2690.4</v>
      </c>
    </row>
    <row r="28" spans="1:14" x14ac:dyDescent="0.25">
      <c r="A28" t="s">
        <v>19</v>
      </c>
      <c r="B28" t="s">
        <v>392</v>
      </c>
      <c r="C28">
        <v>2</v>
      </c>
      <c r="D28">
        <v>28.4</v>
      </c>
      <c r="H28" t="str" cm="1">
        <f t="array" ref="H28:J28">IF(A28:C28="","",A28:C28)</f>
        <v>California</v>
      </c>
      <c r="I28" t="str">
        <v>Modoc County</v>
      </c>
      <c r="J28">
        <v>2</v>
      </c>
      <c r="L28" t="str" cm="1">
        <f t="array" ref="L28:M28">IF(A28:B28="","",A28:B28)</f>
        <v>California</v>
      </c>
      <c r="M28" t="str">
        <v>Modoc County</v>
      </c>
      <c r="N28">
        <f t="shared" si="0"/>
        <v>28.4</v>
      </c>
    </row>
    <row r="29" spans="1:14" x14ac:dyDescent="0.25">
      <c r="A29" t="s">
        <v>19</v>
      </c>
      <c r="B29" t="s">
        <v>670</v>
      </c>
      <c r="C29">
        <v>4</v>
      </c>
      <c r="D29">
        <v>204.8</v>
      </c>
      <c r="H29" t="str" cm="1">
        <f t="array" ref="H29:J29">IF(A29:C29="","",A29:C29)</f>
        <v>California</v>
      </c>
      <c r="I29" t="str">
        <v>Mono County</v>
      </c>
      <c r="J29">
        <v>4</v>
      </c>
      <c r="L29" t="str" cm="1">
        <f t="array" ref="L29:M29">IF(A29:B29="","",A29:B29)</f>
        <v>California</v>
      </c>
      <c r="M29" t="str">
        <v>Mono County</v>
      </c>
      <c r="N29">
        <f t="shared" si="0"/>
        <v>204.8</v>
      </c>
    </row>
    <row r="30" spans="1:14" x14ac:dyDescent="0.25">
      <c r="A30" t="s">
        <v>19</v>
      </c>
      <c r="B30" t="s">
        <v>802</v>
      </c>
      <c r="C30">
        <v>31</v>
      </c>
      <c r="D30">
        <v>1607.8999999999999</v>
      </c>
      <c r="H30" t="str" cm="1">
        <f t="array" ref="H30:J30">IF(A30:C30="","",A30:C30)</f>
        <v>California</v>
      </c>
      <c r="I30" t="str">
        <v>Monterey County</v>
      </c>
      <c r="J30">
        <v>31</v>
      </c>
      <c r="L30" t="str" cm="1">
        <f t="array" ref="L30:M30">IF(A30:B30="","",A30:B30)</f>
        <v>California</v>
      </c>
      <c r="M30" t="str">
        <v>Monterey County</v>
      </c>
      <c r="N30">
        <f t="shared" si="0"/>
        <v>1607.8999999999999</v>
      </c>
    </row>
    <row r="31" spans="1:14" x14ac:dyDescent="0.25">
      <c r="A31" t="s">
        <v>19</v>
      </c>
      <c r="B31" t="s">
        <v>98</v>
      </c>
      <c r="C31">
        <v>88</v>
      </c>
      <c r="D31">
        <v>6444.9</v>
      </c>
      <c r="H31" t="str" cm="1">
        <f t="array" ref="H31:J31">IF(A31:C31="","",A31:C31)</f>
        <v>California</v>
      </c>
      <c r="I31" t="str">
        <v>Napa County</v>
      </c>
      <c r="J31">
        <v>88</v>
      </c>
      <c r="L31" t="str" cm="1">
        <f t="array" ref="L31:M31">IF(A31:B31="","",A31:B31)</f>
        <v>California</v>
      </c>
      <c r="M31" t="str">
        <v>Napa County</v>
      </c>
      <c r="N31">
        <f t="shared" si="0"/>
        <v>6444.9</v>
      </c>
    </row>
    <row r="32" spans="1:14" x14ac:dyDescent="0.25">
      <c r="A32" t="s">
        <v>19</v>
      </c>
      <c r="B32" t="s">
        <v>49</v>
      </c>
      <c r="C32">
        <v>25</v>
      </c>
      <c r="D32">
        <v>1809.3</v>
      </c>
      <c r="H32" t="str" cm="1">
        <f t="array" ref="H32:J32">IF(A32:C32="","",A32:C32)</f>
        <v>California</v>
      </c>
      <c r="I32" t="str">
        <v>Nevada County</v>
      </c>
      <c r="J32">
        <v>25</v>
      </c>
      <c r="L32" t="str" cm="1">
        <f t="array" ref="L32:M32">IF(A32:B32="","",A32:B32)</f>
        <v>California</v>
      </c>
      <c r="M32" t="str">
        <v>Nevada County</v>
      </c>
      <c r="N32">
        <f t="shared" si="0"/>
        <v>1809.3</v>
      </c>
    </row>
    <row r="33" spans="1:14" x14ac:dyDescent="0.25">
      <c r="A33" t="s">
        <v>19</v>
      </c>
      <c r="B33" t="s">
        <v>188</v>
      </c>
      <c r="C33">
        <v>178</v>
      </c>
      <c r="D33">
        <v>9680.399999999996</v>
      </c>
      <c r="H33" t="str" cm="1">
        <f t="array" ref="H33:J33">IF(A33:C33="","",A33:C33)</f>
        <v>California</v>
      </c>
      <c r="I33" t="str">
        <v>Orange County</v>
      </c>
      <c r="J33">
        <v>178</v>
      </c>
      <c r="L33" t="str" cm="1">
        <f t="array" ref="L33:M33">IF(A33:B33="","",A33:B33)</f>
        <v>California</v>
      </c>
      <c r="M33" t="str">
        <v>Orange County</v>
      </c>
      <c r="N33">
        <f t="shared" si="0"/>
        <v>9680.399999999996</v>
      </c>
    </row>
    <row r="34" spans="1:14" x14ac:dyDescent="0.25">
      <c r="A34" t="s">
        <v>19</v>
      </c>
      <c r="B34" t="s">
        <v>52</v>
      </c>
      <c r="C34">
        <v>141</v>
      </c>
      <c r="D34">
        <v>9414.7999999999993</v>
      </c>
      <c r="H34" t="str" cm="1">
        <f t="array" ref="H34:J34">IF(A34:C34="","",A34:C34)</f>
        <v>California</v>
      </c>
      <c r="I34" t="str">
        <v>Placer County</v>
      </c>
      <c r="J34">
        <v>141</v>
      </c>
      <c r="L34" t="str" cm="1">
        <f t="array" ref="L34:M34">IF(A34:B34="","",A34:B34)</f>
        <v>California</v>
      </c>
      <c r="M34" t="str">
        <v>Placer County</v>
      </c>
      <c r="N34">
        <f t="shared" si="0"/>
        <v>9414.7999999999993</v>
      </c>
    </row>
    <row r="35" spans="1:14" x14ac:dyDescent="0.25">
      <c r="A35" t="s">
        <v>19</v>
      </c>
      <c r="B35" t="s">
        <v>338</v>
      </c>
      <c r="C35">
        <v>6</v>
      </c>
      <c r="D35">
        <v>206.1</v>
      </c>
      <c r="H35" t="str" cm="1">
        <f t="array" ref="H35:J35">IF(A35:C35="","",A35:C35)</f>
        <v>California</v>
      </c>
      <c r="I35" t="str">
        <v>Plumas County</v>
      </c>
      <c r="J35">
        <v>6</v>
      </c>
      <c r="L35" t="str" cm="1">
        <f t="array" ref="L35:M35">IF(A35:B35="","",A35:B35)</f>
        <v>California</v>
      </c>
      <c r="M35" t="str">
        <v>Plumas County</v>
      </c>
      <c r="N35">
        <f t="shared" si="0"/>
        <v>206.1</v>
      </c>
    </row>
    <row r="36" spans="1:14" x14ac:dyDescent="0.25">
      <c r="A36" t="s">
        <v>19</v>
      </c>
      <c r="B36" t="s">
        <v>158</v>
      </c>
      <c r="C36">
        <v>178</v>
      </c>
      <c r="D36">
        <v>7691.3</v>
      </c>
      <c r="H36" t="str" cm="1">
        <f t="array" ref="H36:J36">IF(A36:C36="","",A36:C36)</f>
        <v>California</v>
      </c>
      <c r="I36" t="str">
        <v>Riverside County</v>
      </c>
      <c r="J36">
        <v>178</v>
      </c>
      <c r="L36" t="str" cm="1">
        <f t="array" ref="L36:M36">IF(A36:B36="","",A36:B36)</f>
        <v>California</v>
      </c>
      <c r="M36" t="str">
        <v>Riverside County</v>
      </c>
      <c r="N36">
        <f t="shared" si="0"/>
        <v>7691.3</v>
      </c>
    </row>
    <row r="37" spans="1:14" x14ac:dyDescent="0.25">
      <c r="A37" t="s">
        <v>19</v>
      </c>
      <c r="B37" t="s">
        <v>55</v>
      </c>
      <c r="C37">
        <v>699</v>
      </c>
      <c r="D37">
        <v>37784.900000000016</v>
      </c>
      <c r="H37" t="str" cm="1">
        <f t="array" ref="H37:J37">IF(A37:C37="","",A37:C37)</f>
        <v>California</v>
      </c>
      <c r="I37" t="str">
        <v>Sacramento County</v>
      </c>
      <c r="J37">
        <v>699</v>
      </c>
      <c r="L37" t="str" cm="1">
        <f t="array" ref="L37:M37">IF(A37:B37="","",A37:B37)</f>
        <v>California</v>
      </c>
      <c r="M37" t="str">
        <v>Sacramento County</v>
      </c>
      <c r="N37">
        <f t="shared" si="0"/>
        <v>37784.900000000016</v>
      </c>
    </row>
    <row r="38" spans="1:14" x14ac:dyDescent="0.25">
      <c r="A38" t="s">
        <v>19</v>
      </c>
      <c r="B38" t="s">
        <v>342</v>
      </c>
      <c r="C38">
        <v>23</v>
      </c>
      <c r="D38">
        <v>1129.7</v>
      </c>
      <c r="H38" t="str" cm="1">
        <f t="array" ref="H38:J38">IF(A38:C38="","",A38:C38)</f>
        <v>California</v>
      </c>
      <c r="I38" t="str">
        <v>San Benito County</v>
      </c>
      <c r="J38">
        <v>23</v>
      </c>
      <c r="L38" t="str" cm="1">
        <f t="array" ref="L38:M38">IF(A38:B38="","",A38:B38)</f>
        <v>California</v>
      </c>
      <c r="M38" t="str">
        <v>San Benito County</v>
      </c>
      <c r="N38">
        <f t="shared" si="0"/>
        <v>1129.7</v>
      </c>
    </row>
    <row r="39" spans="1:14" x14ac:dyDescent="0.25">
      <c r="A39" t="s">
        <v>19</v>
      </c>
      <c r="B39" t="s">
        <v>59</v>
      </c>
      <c r="C39">
        <v>356</v>
      </c>
      <c r="D39">
        <v>20988.9</v>
      </c>
      <c r="H39" t="str" cm="1">
        <f t="array" ref="H39:J39">IF(A39:C39="","",A39:C39)</f>
        <v>California</v>
      </c>
      <c r="I39" t="str">
        <v>San Bernardino County</v>
      </c>
      <c r="J39">
        <v>356</v>
      </c>
      <c r="L39" t="str" cm="1">
        <f t="array" ref="L39:M39">IF(A39:B39="","",A39:B39)</f>
        <v>California</v>
      </c>
      <c r="M39" t="str">
        <v>San Bernardino County</v>
      </c>
      <c r="N39">
        <f t="shared" si="0"/>
        <v>20988.9</v>
      </c>
    </row>
    <row r="40" spans="1:14" x14ac:dyDescent="0.25">
      <c r="A40" t="s">
        <v>19</v>
      </c>
      <c r="B40" t="s">
        <v>62</v>
      </c>
      <c r="C40">
        <v>1768</v>
      </c>
      <c r="D40">
        <v>98367.099999999977</v>
      </c>
      <c r="H40" t="str" cm="1">
        <f t="array" ref="H40:J40">IF(A40:C40="","",A40:C40)</f>
        <v>California</v>
      </c>
      <c r="I40" t="str">
        <v>San Diego County</v>
      </c>
      <c r="J40">
        <v>1768</v>
      </c>
      <c r="L40" t="str" cm="1">
        <f t="array" ref="L40:M40">IF(A40:B40="","",A40:B40)</f>
        <v>California</v>
      </c>
      <c r="M40" t="str">
        <v>San Diego County</v>
      </c>
      <c r="N40">
        <f t="shared" si="0"/>
        <v>98367.099999999977</v>
      </c>
    </row>
    <row r="41" spans="1:14" x14ac:dyDescent="0.25">
      <c r="A41" t="s">
        <v>19</v>
      </c>
      <c r="B41" t="s">
        <v>103</v>
      </c>
      <c r="C41">
        <v>307</v>
      </c>
      <c r="D41">
        <v>21911.9</v>
      </c>
      <c r="H41" t="str" cm="1">
        <f t="array" ref="H41:J41">IF(A41:C41="","",A41:C41)</f>
        <v>California</v>
      </c>
      <c r="I41" t="str">
        <v>San Francisco</v>
      </c>
      <c r="J41">
        <v>307</v>
      </c>
      <c r="L41" t="str" cm="1">
        <f t="array" ref="L41:M41">IF(A41:B41="","",A41:B41)</f>
        <v>California</v>
      </c>
      <c r="M41" t="str">
        <v>San Francisco</v>
      </c>
      <c r="N41">
        <f t="shared" si="0"/>
        <v>21911.9</v>
      </c>
    </row>
    <row r="42" spans="1:14" x14ac:dyDescent="0.25">
      <c r="A42" t="s">
        <v>19</v>
      </c>
      <c r="B42" t="s">
        <v>201</v>
      </c>
      <c r="C42">
        <v>117</v>
      </c>
      <c r="D42">
        <v>5441.2</v>
      </c>
      <c r="H42" t="str" cm="1">
        <f t="array" ref="H42:J42">IF(A42:C42="","",A42:C42)</f>
        <v>California</v>
      </c>
      <c r="I42" t="str">
        <v>San Joaquin County</v>
      </c>
      <c r="J42">
        <v>117</v>
      </c>
      <c r="L42" t="str" cm="1">
        <f t="array" ref="L42:M42">IF(A42:B42="","",A42:B42)</f>
        <v>California</v>
      </c>
      <c r="M42" t="str">
        <v>San Joaquin County</v>
      </c>
      <c r="N42">
        <f t="shared" si="0"/>
        <v>5441.2</v>
      </c>
    </row>
    <row r="43" spans="1:14" x14ac:dyDescent="0.25">
      <c r="A43" t="s">
        <v>19</v>
      </c>
      <c r="B43" t="s">
        <v>429</v>
      </c>
      <c r="C43">
        <v>13</v>
      </c>
      <c r="D43">
        <v>392.8</v>
      </c>
      <c r="H43" t="str" cm="1">
        <f t="array" ref="H43:J43">IF(A43:C43="","",A43:C43)</f>
        <v>California</v>
      </c>
      <c r="I43" t="str">
        <v>San Luis Obispo County</v>
      </c>
      <c r="J43">
        <v>13</v>
      </c>
      <c r="L43" t="str" cm="1">
        <f t="array" ref="L43:M43">IF(A43:B43="","",A43:B43)</f>
        <v>California</v>
      </c>
      <c r="M43" t="str">
        <v>San Luis Obispo County</v>
      </c>
      <c r="N43">
        <f t="shared" si="0"/>
        <v>392.8</v>
      </c>
    </row>
    <row r="44" spans="1:14" x14ac:dyDescent="0.25">
      <c r="A44" t="s">
        <v>19</v>
      </c>
      <c r="B44" t="s">
        <v>72</v>
      </c>
      <c r="C44">
        <v>364</v>
      </c>
      <c r="D44">
        <v>16172.000000000005</v>
      </c>
      <c r="H44" t="str" cm="1">
        <f t="array" ref="H44:J44">IF(A44:C44="","",A44:C44)</f>
        <v>California</v>
      </c>
      <c r="I44" t="str">
        <v>San Mateo County</v>
      </c>
      <c r="J44">
        <v>364</v>
      </c>
      <c r="L44" t="str" cm="1">
        <f t="array" ref="L44:M44">IF(A44:B44="","",A44:B44)</f>
        <v>California</v>
      </c>
      <c r="M44" t="str">
        <v>San Mateo County</v>
      </c>
      <c r="N44">
        <f t="shared" si="0"/>
        <v>16172.000000000005</v>
      </c>
    </row>
    <row r="45" spans="1:14" x14ac:dyDescent="0.25">
      <c r="A45" t="s">
        <v>19</v>
      </c>
      <c r="B45" t="s">
        <v>74</v>
      </c>
      <c r="C45">
        <v>95</v>
      </c>
      <c r="D45">
        <v>4334.9999999999991</v>
      </c>
      <c r="H45" t="str" cm="1">
        <f t="array" ref="H45:J45">IF(A45:C45="","",A45:C45)</f>
        <v>California</v>
      </c>
      <c r="I45" t="str">
        <v>Santa Barbara County</v>
      </c>
      <c r="J45">
        <v>95</v>
      </c>
      <c r="L45" t="str" cm="1">
        <f t="array" ref="L45:M45">IF(A45:B45="","",A45:B45)</f>
        <v>California</v>
      </c>
      <c r="M45" t="str">
        <v>Santa Barbara County</v>
      </c>
      <c r="N45">
        <f t="shared" si="0"/>
        <v>4334.9999999999991</v>
      </c>
    </row>
    <row r="46" spans="1:14" x14ac:dyDescent="0.25">
      <c r="A46" t="s">
        <v>19</v>
      </c>
      <c r="B46" t="s">
        <v>77</v>
      </c>
      <c r="C46">
        <v>737</v>
      </c>
      <c r="D46">
        <v>37449.000000000007</v>
      </c>
      <c r="H46" t="str" cm="1">
        <f t="array" ref="H46:J46">IF(A46:C46="","",A46:C46)</f>
        <v>California</v>
      </c>
      <c r="I46" t="str">
        <v>Santa Clara County</v>
      </c>
      <c r="J46">
        <v>737</v>
      </c>
      <c r="L46" t="str" cm="1">
        <f t="array" ref="L46:M46">IF(A46:B46="","",A46:B46)</f>
        <v>California</v>
      </c>
      <c r="M46" t="str">
        <v>Santa Clara County</v>
      </c>
      <c r="N46">
        <f t="shared" si="0"/>
        <v>37449.000000000007</v>
      </c>
    </row>
    <row r="47" spans="1:14" x14ac:dyDescent="0.25">
      <c r="A47" t="s">
        <v>19</v>
      </c>
      <c r="B47" t="s">
        <v>309</v>
      </c>
      <c r="C47">
        <v>39</v>
      </c>
      <c r="D47">
        <v>2447.5</v>
      </c>
      <c r="H47" t="str" cm="1">
        <f t="array" ref="H47:J47">IF(A47:C47="","",A47:C47)</f>
        <v>California</v>
      </c>
      <c r="I47" t="str">
        <v>Santa Cruz County</v>
      </c>
      <c r="J47">
        <v>39</v>
      </c>
      <c r="L47" t="str" cm="1">
        <f t="array" ref="L47:M47">IF(A47:B47="","",A47:B47)</f>
        <v>California</v>
      </c>
      <c r="M47" t="str">
        <v>Santa Cruz County</v>
      </c>
      <c r="N47">
        <f t="shared" si="0"/>
        <v>2447.5</v>
      </c>
    </row>
    <row r="48" spans="1:14" x14ac:dyDescent="0.25">
      <c r="A48" t="s">
        <v>19</v>
      </c>
      <c r="B48" t="s">
        <v>1116</v>
      </c>
      <c r="C48">
        <v>56</v>
      </c>
      <c r="D48">
        <v>3391.1</v>
      </c>
      <c r="H48" t="str" cm="1">
        <f t="array" ref="H48:J48">IF(A48:C48="","",A48:C48)</f>
        <v>California</v>
      </c>
      <c r="I48" t="str">
        <v>Shasta County</v>
      </c>
      <c r="J48">
        <v>56</v>
      </c>
      <c r="L48" t="str" cm="1">
        <f t="array" ref="L48:M48">IF(A48:B48="","",A48:B48)</f>
        <v>California</v>
      </c>
      <c r="M48" t="str">
        <v>Shasta County</v>
      </c>
      <c r="N48">
        <f t="shared" si="0"/>
        <v>3391.1</v>
      </c>
    </row>
    <row r="49" spans="1:14" x14ac:dyDescent="0.25">
      <c r="A49" t="s">
        <v>19</v>
      </c>
      <c r="B49" t="s">
        <v>700</v>
      </c>
      <c r="C49">
        <v>2</v>
      </c>
      <c r="D49">
        <v>30.8</v>
      </c>
      <c r="H49" t="str" cm="1">
        <f t="array" ref="H49:J49">IF(A49:C49="","",A49:C49)</f>
        <v>California</v>
      </c>
      <c r="I49" t="str">
        <v>Sierra County</v>
      </c>
      <c r="J49">
        <v>2</v>
      </c>
      <c r="L49" t="str" cm="1">
        <f t="array" ref="L49:M49">IF(A49:B49="","",A49:B49)</f>
        <v>California</v>
      </c>
      <c r="M49" t="str">
        <v>Sierra County</v>
      </c>
      <c r="N49">
        <f t="shared" si="0"/>
        <v>30.8</v>
      </c>
    </row>
    <row r="50" spans="1:14" x14ac:dyDescent="0.25">
      <c r="A50" t="s">
        <v>19</v>
      </c>
      <c r="B50" t="s">
        <v>268</v>
      </c>
      <c r="C50">
        <v>8</v>
      </c>
      <c r="D50">
        <v>332.3</v>
      </c>
      <c r="H50" t="str" cm="1">
        <f t="array" ref="H50:J50">IF(A50:C50="","",A50:C50)</f>
        <v>California</v>
      </c>
      <c r="I50" t="str">
        <v>Siskiyou County</v>
      </c>
      <c r="J50">
        <v>8</v>
      </c>
      <c r="L50" t="str" cm="1">
        <f t="array" ref="L50:M50">IF(A50:B50="","",A50:B50)</f>
        <v>California</v>
      </c>
      <c r="M50" t="str">
        <v>Siskiyou County</v>
      </c>
      <c r="N50">
        <f t="shared" si="0"/>
        <v>332.3</v>
      </c>
    </row>
    <row r="51" spans="1:14" x14ac:dyDescent="0.25">
      <c r="A51" t="s">
        <v>19</v>
      </c>
      <c r="B51" t="s">
        <v>377</v>
      </c>
      <c r="C51">
        <v>52</v>
      </c>
      <c r="D51">
        <v>3175.9999999999995</v>
      </c>
      <c r="H51" t="str" cm="1">
        <f t="array" ref="H51:J51">IF(A51:C51="","",A51:C51)</f>
        <v>California</v>
      </c>
      <c r="I51" t="str">
        <v>Solano County</v>
      </c>
      <c r="J51">
        <v>52</v>
      </c>
      <c r="L51" t="str" cm="1">
        <f t="array" ref="L51:M51">IF(A51:B51="","",A51:B51)</f>
        <v>California</v>
      </c>
      <c r="M51" t="str">
        <v>Solano County</v>
      </c>
      <c r="N51">
        <f t="shared" si="0"/>
        <v>3175.9999999999995</v>
      </c>
    </row>
    <row r="52" spans="1:14" x14ac:dyDescent="0.25">
      <c r="A52" t="s">
        <v>19</v>
      </c>
      <c r="B52" t="s">
        <v>108</v>
      </c>
      <c r="C52">
        <v>295</v>
      </c>
      <c r="D52">
        <v>20939.600000000002</v>
      </c>
      <c r="H52" t="str" cm="1">
        <f t="array" ref="H52:J52">IF(A52:C52="","",A52:C52)</f>
        <v>California</v>
      </c>
      <c r="I52" t="str">
        <v>Sonoma County</v>
      </c>
      <c r="J52">
        <v>295</v>
      </c>
      <c r="L52" t="str" cm="1">
        <f t="array" ref="L52:M52">IF(A52:B52="","",A52:B52)</f>
        <v>California</v>
      </c>
      <c r="M52" t="str">
        <v>Sonoma County</v>
      </c>
      <c r="N52">
        <f t="shared" si="0"/>
        <v>20939.600000000002</v>
      </c>
    </row>
    <row r="53" spans="1:14" x14ac:dyDescent="0.25">
      <c r="A53" t="s">
        <v>19</v>
      </c>
      <c r="B53" t="s">
        <v>110</v>
      </c>
      <c r="C53">
        <v>195</v>
      </c>
      <c r="D53">
        <v>10185.899999999996</v>
      </c>
      <c r="H53" t="str" cm="1">
        <f t="array" ref="H53:J53">IF(A53:C53="","",A53:C53)</f>
        <v>California</v>
      </c>
      <c r="I53" t="str">
        <v>Stanislaus County</v>
      </c>
      <c r="J53">
        <v>195</v>
      </c>
      <c r="L53" t="str" cm="1">
        <f t="array" ref="L53:M53">IF(A53:B53="","",A53:B53)</f>
        <v>California</v>
      </c>
      <c r="M53" t="str">
        <v>Stanislaus County</v>
      </c>
      <c r="N53">
        <f t="shared" si="0"/>
        <v>10185.899999999996</v>
      </c>
    </row>
    <row r="54" spans="1:14" x14ac:dyDescent="0.25">
      <c r="A54" t="s">
        <v>19</v>
      </c>
      <c r="B54" t="s">
        <v>292</v>
      </c>
      <c r="C54">
        <v>20</v>
      </c>
      <c r="D54">
        <v>958.7</v>
      </c>
      <c r="H54" t="str" cm="1">
        <f t="array" ref="H54:J54">IF(A54:C54="","",A54:C54)</f>
        <v>California</v>
      </c>
      <c r="I54" t="str">
        <v>Sutter County</v>
      </c>
      <c r="J54">
        <v>20</v>
      </c>
      <c r="L54" t="str" cm="1">
        <f t="array" ref="L54:M54">IF(A54:B54="","",A54:B54)</f>
        <v>California</v>
      </c>
      <c r="M54" t="str">
        <v>Sutter County</v>
      </c>
      <c r="N54">
        <f t="shared" si="0"/>
        <v>958.7</v>
      </c>
    </row>
    <row r="55" spans="1:14" x14ac:dyDescent="0.25">
      <c r="A55" t="s">
        <v>19</v>
      </c>
      <c r="B55" t="s">
        <v>79</v>
      </c>
      <c r="C55">
        <v>6</v>
      </c>
      <c r="D55">
        <v>323</v>
      </c>
      <c r="H55" t="str" cm="1">
        <f t="array" ref="H55:J55">IF(A55:C55="","",A55:C55)</f>
        <v>California</v>
      </c>
      <c r="I55" t="str">
        <v>Tehama County</v>
      </c>
      <c r="J55">
        <v>6</v>
      </c>
      <c r="L55" t="str" cm="1">
        <f t="array" ref="L55:M55">IF(A55:B55="","",A55:B55)</f>
        <v>California</v>
      </c>
      <c r="M55" t="str">
        <v>Tehama County</v>
      </c>
      <c r="N55">
        <f t="shared" si="0"/>
        <v>323</v>
      </c>
    </row>
    <row r="56" spans="1:14" x14ac:dyDescent="0.25">
      <c r="A56" t="s">
        <v>19</v>
      </c>
      <c r="B56" t="s">
        <v>608</v>
      </c>
      <c r="C56">
        <v>5</v>
      </c>
      <c r="D56">
        <v>167.70000000000002</v>
      </c>
      <c r="H56" t="str" cm="1">
        <f t="array" ref="H56:J56">IF(A56:C56="","",A56:C56)</f>
        <v>California</v>
      </c>
      <c r="I56" t="str">
        <v>Trinity County</v>
      </c>
      <c r="J56">
        <v>5</v>
      </c>
      <c r="L56" t="str" cm="1">
        <f t="array" ref="L56:M56">IF(A56:B56="","",A56:B56)</f>
        <v>California</v>
      </c>
      <c r="M56" t="str">
        <v>Trinity County</v>
      </c>
      <c r="N56">
        <f t="shared" si="0"/>
        <v>167.70000000000002</v>
      </c>
    </row>
    <row r="57" spans="1:14" x14ac:dyDescent="0.25">
      <c r="A57" t="s">
        <v>19</v>
      </c>
      <c r="B57" t="s">
        <v>113</v>
      </c>
      <c r="C57">
        <v>94</v>
      </c>
      <c r="D57">
        <v>3978.5</v>
      </c>
      <c r="H57" t="str" cm="1">
        <f t="array" ref="H57:J57">IF(A57:C57="","",A57:C57)</f>
        <v>California</v>
      </c>
      <c r="I57" t="str">
        <v>Tulare County</v>
      </c>
      <c r="J57">
        <v>94</v>
      </c>
      <c r="L57" t="str" cm="1">
        <f t="array" ref="L57:M57">IF(A57:B57="","",A57:B57)</f>
        <v>California</v>
      </c>
      <c r="M57" t="str">
        <v>Tulare County</v>
      </c>
      <c r="N57">
        <f t="shared" si="0"/>
        <v>3978.5</v>
      </c>
    </row>
    <row r="58" spans="1:14" x14ac:dyDescent="0.25">
      <c r="A58" t="s">
        <v>19</v>
      </c>
      <c r="B58" t="s">
        <v>997</v>
      </c>
      <c r="C58">
        <v>28</v>
      </c>
      <c r="D58">
        <v>1405</v>
      </c>
      <c r="H58" t="str" cm="1">
        <f t="array" ref="H58:J58">IF(A58:C58="","",A58:C58)</f>
        <v>California</v>
      </c>
      <c r="I58" t="str">
        <v>Tuolumne County</v>
      </c>
      <c r="J58">
        <v>28</v>
      </c>
      <c r="L58" t="str" cm="1">
        <f t="array" ref="L58:M58">IF(A58:B58="","",A58:B58)</f>
        <v>California</v>
      </c>
      <c r="M58" t="str">
        <v>Tuolumne County</v>
      </c>
      <c r="N58">
        <f t="shared" si="0"/>
        <v>1405</v>
      </c>
    </row>
    <row r="59" spans="1:14" x14ac:dyDescent="0.25">
      <c r="A59" t="s">
        <v>19</v>
      </c>
      <c r="B59" t="s">
        <v>82</v>
      </c>
      <c r="C59">
        <v>179</v>
      </c>
      <c r="D59">
        <v>9869.0999999999985</v>
      </c>
      <c r="H59" t="str" cm="1">
        <f t="array" ref="H59:J59">IF(A59:C59="","",A59:C59)</f>
        <v>California</v>
      </c>
      <c r="I59" t="str">
        <v>Ventura County</v>
      </c>
      <c r="J59">
        <v>179</v>
      </c>
      <c r="L59" t="str" cm="1">
        <f t="array" ref="L59:M59">IF(A59:B59="","",A59:B59)</f>
        <v>California</v>
      </c>
      <c r="M59" t="str">
        <v>Ventura County</v>
      </c>
      <c r="N59">
        <f t="shared" si="0"/>
        <v>9869.0999999999985</v>
      </c>
    </row>
    <row r="60" spans="1:14" x14ac:dyDescent="0.25">
      <c r="A60" t="s">
        <v>19</v>
      </c>
      <c r="B60" t="s">
        <v>243</v>
      </c>
      <c r="C60">
        <v>15</v>
      </c>
      <c r="D60">
        <v>615.29999999999995</v>
      </c>
      <c r="H60" t="str" cm="1">
        <f t="array" ref="H60:J60">IF(A60:C60="","",A60:C60)</f>
        <v>California</v>
      </c>
      <c r="I60" t="str">
        <v>Yolo County</v>
      </c>
      <c r="J60">
        <v>15</v>
      </c>
      <c r="L60" t="str" cm="1">
        <f t="array" ref="L60:M60">IF(A60:B60="","",A60:B60)</f>
        <v>California</v>
      </c>
      <c r="M60" t="str">
        <v>Yolo County</v>
      </c>
      <c r="N60">
        <f t="shared" si="0"/>
        <v>615.29999999999995</v>
      </c>
    </row>
    <row r="61" spans="1:14" x14ac:dyDescent="0.25">
      <c r="A61" t="s">
        <v>19</v>
      </c>
      <c r="B61" t="s">
        <v>1911</v>
      </c>
      <c r="C61">
        <v>3</v>
      </c>
      <c r="D61">
        <v>285</v>
      </c>
      <c r="H61" t="str" cm="1">
        <f t="array" ref="H61:J61">IF(A61:C61="","",A61:C61)</f>
        <v>California</v>
      </c>
      <c r="I61" t="str">
        <v>Yuba County</v>
      </c>
      <c r="J61">
        <v>3</v>
      </c>
      <c r="L61" t="str" cm="1">
        <f t="array" ref="L61:M61">IF(A61:B61="","",A61:B61)</f>
        <v>California</v>
      </c>
      <c r="M61" t="str">
        <v>Yuba County</v>
      </c>
      <c r="N61">
        <f t="shared" si="0"/>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5F7D1-0F33-4CF4-B299-0A8B2514C15E}">
  <dimension ref="A2:G30"/>
  <sheetViews>
    <sheetView workbookViewId="0">
      <selection activeCell="AE6" sqref="AE6"/>
    </sheetView>
  </sheetViews>
  <sheetFormatPr defaultRowHeight="15" x14ac:dyDescent="0.25"/>
  <cols>
    <col min="1" max="1" width="13.42578125" bestFit="1" customWidth="1"/>
    <col min="2" max="2" width="14" bestFit="1" customWidth="1"/>
    <col min="3" max="4" width="4" bestFit="1" customWidth="1"/>
    <col min="5" max="5" width="5" bestFit="1" customWidth="1"/>
    <col min="6" max="6" width="4" bestFit="1" customWidth="1"/>
    <col min="7" max="7" width="11.28515625" bestFit="1" customWidth="1"/>
    <col min="8" max="32" width="9.28515625" bestFit="1" customWidth="1"/>
    <col min="33" max="89" width="9.7109375" bestFit="1" customWidth="1"/>
    <col min="90" max="90" width="11.28515625" bestFit="1" customWidth="1"/>
    <col min="91" max="2400" width="16.85546875" bestFit="1" customWidth="1"/>
    <col min="2401" max="2401" width="11.28515625" bestFit="1" customWidth="1"/>
  </cols>
  <sheetData>
    <row r="2" spans="1:3" x14ac:dyDescent="0.25">
      <c r="C2" t="s">
        <v>2549</v>
      </c>
    </row>
    <row r="3" spans="1:3" x14ac:dyDescent="0.25">
      <c r="A3" s="11" t="s">
        <v>2531</v>
      </c>
      <c r="B3" t="s">
        <v>2540</v>
      </c>
    </row>
    <row r="4" spans="1:3" x14ac:dyDescent="0.25">
      <c r="A4" s="12">
        <v>0</v>
      </c>
      <c r="B4">
        <v>175</v>
      </c>
    </row>
    <row r="5" spans="1:3" x14ac:dyDescent="0.25">
      <c r="A5" s="12">
        <v>1</v>
      </c>
      <c r="B5">
        <v>888</v>
      </c>
    </row>
    <row r="6" spans="1:3" x14ac:dyDescent="0.25">
      <c r="A6" s="12">
        <v>2</v>
      </c>
      <c r="B6">
        <v>538</v>
      </c>
    </row>
    <row r="7" spans="1:3" x14ac:dyDescent="0.25">
      <c r="A7" s="12">
        <v>3</v>
      </c>
      <c r="B7">
        <v>344</v>
      </c>
    </row>
    <row r="8" spans="1:3" x14ac:dyDescent="0.25">
      <c r="A8" s="12">
        <v>4</v>
      </c>
      <c r="B8">
        <v>200</v>
      </c>
    </row>
    <row r="9" spans="1:3" x14ac:dyDescent="0.25">
      <c r="A9" s="12">
        <v>5</v>
      </c>
      <c r="B9">
        <v>94</v>
      </c>
    </row>
    <row r="10" spans="1:3" x14ac:dyDescent="0.25">
      <c r="A10" s="12">
        <v>6</v>
      </c>
      <c r="B10">
        <v>51</v>
      </c>
    </row>
    <row r="11" spans="1:3" x14ac:dyDescent="0.25">
      <c r="A11" s="12">
        <v>7</v>
      </c>
      <c r="B11">
        <v>32</v>
      </c>
    </row>
    <row r="12" spans="1:3" x14ac:dyDescent="0.25">
      <c r="A12" s="12">
        <v>8</v>
      </c>
      <c r="B12">
        <v>23</v>
      </c>
    </row>
    <row r="13" spans="1:3" x14ac:dyDescent="0.25">
      <c r="A13" s="12">
        <v>9</v>
      </c>
      <c r="B13">
        <v>9</v>
      </c>
    </row>
    <row r="14" spans="1:3" x14ac:dyDescent="0.25">
      <c r="A14" s="12">
        <v>10</v>
      </c>
      <c r="B14">
        <v>8</v>
      </c>
    </row>
    <row r="15" spans="1:3" x14ac:dyDescent="0.25">
      <c r="A15" s="12">
        <v>11</v>
      </c>
      <c r="B15">
        <v>11</v>
      </c>
    </row>
    <row r="16" spans="1:3" x14ac:dyDescent="0.25">
      <c r="A16" s="12">
        <v>12</v>
      </c>
      <c r="B16">
        <v>4</v>
      </c>
    </row>
    <row r="17" spans="1:7" x14ac:dyDescent="0.25">
      <c r="A17" s="12">
        <v>13</v>
      </c>
      <c r="B17">
        <v>10</v>
      </c>
    </row>
    <row r="18" spans="1:7" x14ac:dyDescent="0.25">
      <c r="A18" s="12">
        <v>14</v>
      </c>
      <c r="B18">
        <v>13</v>
      </c>
    </row>
    <row r="19" spans="1:7" x14ac:dyDescent="0.25">
      <c r="A19" s="12" t="s">
        <v>2532</v>
      </c>
      <c r="B19">
        <v>2400</v>
      </c>
    </row>
    <row r="23" spans="1:7" x14ac:dyDescent="0.25">
      <c r="B23" t="s">
        <v>2550</v>
      </c>
    </row>
    <row r="25" spans="1:7" x14ac:dyDescent="0.25">
      <c r="A25" s="11" t="s">
        <v>2540</v>
      </c>
      <c r="B25" s="11" t="s">
        <v>2537</v>
      </c>
    </row>
    <row r="26" spans="1:7" x14ac:dyDescent="0.25">
      <c r="A26" s="11" t="s">
        <v>2531</v>
      </c>
      <c r="B26">
        <v>1</v>
      </c>
      <c r="C26">
        <v>2</v>
      </c>
      <c r="D26">
        <v>3</v>
      </c>
      <c r="E26">
        <v>4</v>
      </c>
      <c r="F26">
        <v>5</v>
      </c>
      <c r="G26" t="s">
        <v>2532</v>
      </c>
    </row>
    <row r="27" spans="1:7" x14ac:dyDescent="0.25">
      <c r="A27" s="12" t="s">
        <v>2551</v>
      </c>
      <c r="B27">
        <v>7</v>
      </c>
      <c r="C27">
        <v>37</v>
      </c>
      <c r="D27">
        <v>150</v>
      </c>
      <c r="E27">
        <v>312</v>
      </c>
      <c r="F27">
        <v>224</v>
      </c>
      <c r="G27">
        <v>730</v>
      </c>
    </row>
    <row r="28" spans="1:7" x14ac:dyDescent="0.25">
      <c r="A28" s="12" t="s">
        <v>2552</v>
      </c>
      <c r="B28">
        <v>8</v>
      </c>
      <c r="C28">
        <v>51</v>
      </c>
      <c r="D28">
        <v>182</v>
      </c>
      <c r="E28">
        <v>373</v>
      </c>
      <c r="F28">
        <v>247</v>
      </c>
      <c r="G28">
        <v>861</v>
      </c>
    </row>
    <row r="29" spans="1:7" x14ac:dyDescent="0.25">
      <c r="A29" s="12" t="s">
        <v>2553</v>
      </c>
      <c r="B29">
        <v>6</v>
      </c>
      <c r="C29">
        <v>39</v>
      </c>
      <c r="D29">
        <v>163</v>
      </c>
      <c r="E29">
        <v>351</v>
      </c>
      <c r="F29">
        <v>250</v>
      </c>
      <c r="G29">
        <v>809</v>
      </c>
    </row>
    <row r="30" spans="1:7" x14ac:dyDescent="0.25">
      <c r="A30" s="12" t="s">
        <v>2532</v>
      </c>
      <c r="B30">
        <v>21</v>
      </c>
      <c r="C30">
        <v>127</v>
      </c>
      <c r="D30">
        <v>495</v>
      </c>
      <c r="E30">
        <v>1036</v>
      </c>
      <c r="F30">
        <v>721</v>
      </c>
      <c r="G30">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2BC5E-2B41-4C14-9B07-6F2C70C246ED}">
  <sheetPr>
    <tabColor rgb="FFFFC000"/>
  </sheetPr>
  <dimension ref="A1:AB42"/>
  <sheetViews>
    <sheetView showGridLines="0" showRowColHeaders="0" tabSelected="1" view="pageBreakPreview" zoomScale="85" zoomScaleNormal="100" zoomScaleSheetLayoutView="85" workbookViewId="0">
      <selection activeCell="AE6" sqref="A1:XFD1048576"/>
    </sheetView>
  </sheetViews>
  <sheetFormatPr defaultColWidth="0" defaultRowHeight="15" zeroHeight="1" x14ac:dyDescent="0.25"/>
  <cols>
    <col min="1" max="1" width="3.7109375" style="24" customWidth="1"/>
    <col min="2" max="2" width="20" style="24" customWidth="1"/>
    <col min="3" max="3" width="3.28515625" style="24" customWidth="1"/>
    <col min="4" max="26" width="9.140625" style="24" customWidth="1"/>
    <col min="27" max="28" width="0" style="24" hidden="1" customWidth="1"/>
    <col min="29" max="16384" width="9.140625" style="24" hidden="1"/>
  </cols>
  <sheetData>
    <row r="1" spans="1:26" ht="57" customHeight="1" x14ac:dyDescent="0.25">
      <c r="A1" s="25" t="s">
        <v>2554</v>
      </c>
      <c r="B1" s="26"/>
      <c r="C1" s="26"/>
      <c r="D1" s="26"/>
      <c r="E1" s="26"/>
      <c r="F1" s="26"/>
      <c r="G1" s="26"/>
      <c r="H1" s="26"/>
      <c r="I1" s="26"/>
      <c r="J1" s="26"/>
      <c r="K1" s="26"/>
      <c r="L1" s="26"/>
      <c r="M1" s="26"/>
      <c r="N1" s="26"/>
      <c r="O1" s="26"/>
      <c r="P1" s="26"/>
      <c r="Q1" s="26"/>
      <c r="R1" s="26"/>
      <c r="S1" s="26"/>
      <c r="T1" s="26"/>
      <c r="U1" s="26"/>
      <c r="V1" s="26"/>
      <c r="W1" s="26"/>
      <c r="X1" s="26"/>
      <c r="Y1" s="26"/>
      <c r="Z1" s="26"/>
    </row>
    <row r="2" spans="1:26" x14ac:dyDescent="0.25">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x14ac:dyDescent="0.25"/>
    <row r="4" spans="1:26" x14ac:dyDescent="0.25"/>
    <row r="5" spans="1:26" x14ac:dyDescent="0.25"/>
    <row r="6" spans="1:26" x14ac:dyDescent="0.25"/>
    <row r="7" spans="1:26" x14ac:dyDescent="0.25"/>
    <row r="8" spans="1:26" x14ac:dyDescent="0.25"/>
    <row r="9" spans="1:26" x14ac:dyDescent="0.25"/>
    <row r="10" spans="1:26" x14ac:dyDescent="0.25"/>
    <row r="11" spans="1:26" x14ac:dyDescent="0.25"/>
    <row r="12" spans="1:26" x14ac:dyDescent="0.25"/>
    <row r="13" spans="1:26" x14ac:dyDescent="0.25"/>
    <row r="14" spans="1:26" x14ac:dyDescent="0.25"/>
    <row r="15" spans="1:26" x14ac:dyDescent="0.25"/>
    <row r="16" spans="1:26" x14ac:dyDescent="0.25"/>
    <row r="17" s="24" customFormat="1" x14ac:dyDescent="0.25"/>
    <row r="18" s="24" customFormat="1" x14ac:dyDescent="0.25"/>
    <row r="19" s="24" customFormat="1" x14ac:dyDescent="0.25"/>
    <row r="20" s="24" customFormat="1" x14ac:dyDescent="0.25"/>
    <row r="21" s="24" customFormat="1" x14ac:dyDescent="0.25"/>
    <row r="22" s="24" customFormat="1" x14ac:dyDescent="0.25"/>
    <row r="23" s="24" customFormat="1" x14ac:dyDescent="0.25"/>
    <row r="24" s="24" customFormat="1" x14ac:dyDescent="0.25"/>
    <row r="25" s="24" customFormat="1" x14ac:dyDescent="0.25"/>
    <row r="26" s="24" customFormat="1" x14ac:dyDescent="0.25"/>
    <row r="27" s="24" customFormat="1" x14ac:dyDescent="0.25"/>
    <row r="28" s="24" customFormat="1" x14ac:dyDescent="0.25"/>
    <row r="29" s="24" customFormat="1" x14ac:dyDescent="0.25"/>
    <row r="30" s="24" customFormat="1" x14ac:dyDescent="0.25"/>
    <row r="31" s="24" customFormat="1" x14ac:dyDescent="0.25"/>
    <row r="32" s="24" customFormat="1" x14ac:dyDescent="0.25"/>
    <row r="33" s="24" customFormat="1" x14ac:dyDescent="0.25"/>
    <row r="34" s="24" customFormat="1" x14ac:dyDescent="0.25"/>
    <row r="35" s="24" customFormat="1" x14ac:dyDescent="0.25"/>
    <row r="36" s="24" customFormat="1" x14ac:dyDescent="0.25"/>
    <row r="37" s="24" customFormat="1" x14ac:dyDescent="0.25"/>
    <row r="38" s="24" customFormat="1" x14ac:dyDescent="0.25"/>
    <row r="39" s="24" customFormat="1" x14ac:dyDescent="0.25"/>
    <row r="40" s="24" customFormat="1" x14ac:dyDescent="0.25"/>
    <row r="41" s="24" customFormat="1" x14ac:dyDescent="0.25"/>
    <row r="42" s="24" customFormat="1" x14ac:dyDescent="0.25"/>
  </sheetData>
  <sheetProtection sheet="1" objects="1" scenarios="1" selectLockedCells="1" pivotTables="0" selectUnlockedCells="1"/>
  <protectedRanges>
    <protectedRange sqref="A43:XFD1048576" name="Range2"/>
    <protectedRange sqref="A43:XFD1048576" name="Order Mode"/>
  </protectedRanges>
  <mergeCells count="1">
    <mergeCell ref="A1:Z2"/>
  </mergeCells>
  <pageMargins left="0.7" right="0.7" top="0.75" bottom="0.75" header="0.3" footer="0.3"/>
  <pageSetup orientation="portrait" r:id="rId1"/>
  <colBreaks count="2" manualBreakCount="2">
    <brk id="10" max="42" man="1"/>
    <brk id="18" max="42" man="1"/>
  </colBreaks>
  <drawing r:id="rId2"/>
  <legacy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AE6" sqref="AE6"/>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7.42578125" bestFit="1" customWidth="1"/>
    <col min="9" max="9" width="11.5703125" bestFit="1" customWidth="1"/>
    <col min="10" max="10" width="8.5703125" bestFit="1" customWidth="1"/>
    <col min="11" max="11" width="9.7109375" bestFit="1" customWidth="1"/>
    <col min="12" max="12" width="22" bestFit="1" customWidth="1"/>
    <col min="13" max="13" width="14.85546875" bestFit="1" customWidth="1"/>
    <col min="14" max="14" width="10.140625" bestFit="1" customWidth="1"/>
    <col min="15" max="15" width="13.28515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AE6" sqref="AE6"/>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1_pivot</vt:lpstr>
      <vt:lpstr>2_pivot</vt:lpstr>
      <vt:lpstr>3_pivot</vt:lpstr>
      <vt:lpstr>4_pivot</vt:lpstr>
      <vt:lpstr>5_pivot</vt:lpstr>
      <vt:lpstr>6_pivot</vt:lpstr>
      <vt:lpstr>E-Commerce Dashboard</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Sharankumar Rathod</dc:creator>
  <cp:keywords>Dashboard</cp:keywords>
  <cp:lastModifiedBy>Sharankumar Rathod</cp:lastModifiedBy>
  <dcterms:created xsi:type="dcterms:W3CDTF">2025-06-13T02:42:26Z</dcterms:created>
  <dcterms:modified xsi:type="dcterms:W3CDTF">2026-08-02T11:00:25Z</dcterms:modified>
</cp:coreProperties>
</file>